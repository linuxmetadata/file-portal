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1600" windowHeight="9045"/>
  </bookViews>
  <sheets>
    <sheet name="Stock &amp; Sales Analysis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1" l="1"/>
  <c r="J37" i="1"/>
  <c r="I37" i="1"/>
  <c r="H37" i="1"/>
  <c r="G37" i="1"/>
  <c r="F37" i="1"/>
  <c r="E37" i="1"/>
  <c r="D37" i="1"/>
  <c r="C37" i="1"/>
</calcChain>
</file>

<file path=xl/sharedStrings.xml><?xml version="1.0" encoding="utf-8"?>
<sst xmlns="http://schemas.openxmlformats.org/spreadsheetml/2006/main" count="78" uniqueCount="51">
  <si>
    <t>SPARK HEALTHCARE</t>
  </si>
  <si>
    <t>PLOT.NO.301, GROUND FLOOR, PART-B, OPP AKSHAR PRINT, BESIDE KAPI JEWELS, VASTADEVDI ROAD, KATARGAM, SURAT-395004</t>
  </si>
  <si>
    <t>STOCK &amp; SALES ANALYSIS</t>
  </si>
  <si>
    <t>DIVISION: LINUX LABORATORIES | PERIOD: 01-07-2026 TO 31-07-2026</t>
  </si>
  <si>
    <t>ITEM DESCRIPTION</t>
  </si>
  <si>
    <t>PACKING</t>
  </si>
  <si>
    <t>OPENING</t>
  </si>
  <si>
    <t>RECEIPT</t>
  </si>
  <si>
    <t>ISSUE</t>
  </si>
  <si>
    <t>CLOSING</t>
  </si>
  <si>
    <t>DUMP QTY</t>
  </si>
  <si>
    <t>QTY</t>
  </si>
  <si>
    <t>VALUE</t>
  </si>
  <si>
    <t>CEFBULL S 1.5GM INJ</t>
  </si>
  <si>
    <t>1*1</t>
  </si>
  <si>
    <t>CELONG INJ 1.5/6ML</t>
  </si>
  <si>
    <t>FERIZAC IV 5ML</t>
  </si>
  <si>
    <t>FERIZAC IV 5ML(N)</t>
  </si>
  <si>
    <t>HMB MAX SACHET 3GM</t>
  </si>
  <si>
    <t>1*10</t>
  </si>
  <si>
    <t>IBFLUX 200ML SOLU</t>
  </si>
  <si>
    <t>1*200ML</t>
  </si>
  <si>
    <t>IBICOLIST 3 MIU(10ML)</t>
  </si>
  <si>
    <t>IBICOLIST 4.5 MIU(10ML)</t>
  </si>
  <si>
    <t>IBIFOSP 4GM INJ</t>
  </si>
  <si>
    <t>IBIPITAZ 4.5GM</t>
  </si>
  <si>
    <t>IBITIG 50MG INJ</t>
  </si>
  <si>
    <t>LIN-FCM IV INJ</t>
  </si>
  <si>
    <t>1*10ML</t>
  </si>
  <si>
    <t>LINCIPARA 100ML UNIBAG</t>
  </si>
  <si>
    <t>1*100ML</t>
  </si>
  <si>
    <t>MERATO 1GM INJ</t>
  </si>
  <si>
    <t>MYXINIB 500000 IU INJ</t>
  </si>
  <si>
    <t>PENPIL 200MG TAB</t>
  </si>
  <si>
    <t>10TAB</t>
  </si>
  <si>
    <t>PENPIL 300MG ER TAB</t>
  </si>
  <si>
    <t>PHYSIOLYTE 500ML (U)</t>
  </si>
  <si>
    <t>PHYSIOLYTE 500ML</t>
  </si>
  <si>
    <t>1*15</t>
  </si>
  <si>
    <t>STERIGLU 100ML INFLUSION</t>
  </si>
  <si>
    <t>STERIGLU PLUS SACHET</t>
  </si>
  <si>
    <t>STERIMINO 10% 200ML INFUSION</t>
  </si>
  <si>
    <t>STERIMINO 10% 500ML INFUSION</t>
  </si>
  <si>
    <t>STERIMINO 7% 250ML INFUSION</t>
  </si>
  <si>
    <t>TRESCRUB INJ</t>
  </si>
  <si>
    <t>TRESCRUB TABLET 500MG</t>
  </si>
  <si>
    <t>ULIFUSE 1 LAC IU 12%GST</t>
  </si>
  <si>
    <t>ULIFUSE 1 LAC IU 5%GST</t>
  </si>
  <si>
    <t>ZINCDRIP 10ML INJ.</t>
  </si>
  <si>
    <t>1*20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</si>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</sst>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sz val="9"/>
      <color rgb="FF595959"/>
      <name val="Calibri"/>
    </font>
    <font>
      <b/>
      <sz val="12"/>
      <color rgb="FF1F4E79"/>
      <name val="Calibri"/>
    </font>
    <font>
      <b/>
      <i/>
      <sz val="10"/>
      <color rgb="FF333333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9FAFC"/>
        <bgColor rgb="FFF9FAFC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E79"/>
      </top>
      <bottom style="double">
        <color rgb="FF1F4E7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right" vertical="center"/>
    </xf>
    <xf numFmtId="4" fontId="6" fillId="3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right" vertical="center"/>
    </xf>
    <xf numFmtId="4" fontId="6" fillId="4" borderId="1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left" vertical="center"/>
    </xf>
    <xf numFmtId="0" fontId="7" fillId="5" borderId="2" xfId="0" applyFont="1" applyFill="1" applyBorder="1"/>
    <xf numFmtId="3" fontId="7" fillId="5" borderId="2" xfId="0" applyNumberFormat="1" applyFont="1" applyFill="1" applyBorder="1" applyAlignment="1">
      <alignment horizontal="right" vertical="center"/>
    </xf>
    <xf numFmtId="4" fontId="7" fillId="5" borderId="2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topLeftCell="A12" workbookViewId="0">
      <selection activeCell="E31" sqref="E31"/>
    </sheetView>
  </sheetViews>
  <sheetFormatPr defaultRowHeight="15" x14ac:dyDescent="0.25"/>
  <cols>
    <col min="1" max="1" width="32" customWidth="1"/>
    <col min="2" max="3" width="12" customWidth="1"/>
    <col min="4" max="4" width="15" customWidth="1"/>
    <col min="5" max="5" width="12" customWidth="1"/>
    <col min="6" max="6" width="15" customWidth="1"/>
    <col min="7" max="7" width="12" customWidth="1"/>
    <col min="8" max="8" width="15" customWidth="1"/>
    <col min="9" max="9" width="12" customWidth="1"/>
    <col min="10" max="10" width="15" customWidth="1"/>
    <col min="11" max="11" width="12" customWidth="1"/>
  </cols>
  <sheetData>
    <row r="1" spans="1:11" ht="18.75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5.75" x14ac:dyDescent="0.25">
      <c r="A3" s="19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6" spans="1:11" x14ac:dyDescent="0.25">
      <c r="A6" s="17" t="s">
        <v>4</v>
      </c>
      <c r="B6" s="17" t="s">
        <v>5</v>
      </c>
      <c r="C6" s="17" t="s">
        <v>6</v>
      </c>
      <c r="D6" s="17"/>
      <c r="E6" s="17" t="s">
        <v>7</v>
      </c>
      <c r="F6" s="17"/>
      <c r="G6" s="17" t="s">
        <v>8</v>
      </c>
      <c r="H6" s="17"/>
      <c r="I6" s="17" t="s">
        <v>9</v>
      </c>
      <c r="J6" s="17"/>
      <c r="K6" s="17" t="s">
        <v>10</v>
      </c>
    </row>
    <row r="7" spans="1:11" x14ac:dyDescent="0.25">
      <c r="A7" s="17"/>
      <c r="B7" s="17"/>
      <c r="C7" s="1" t="s">
        <v>11</v>
      </c>
      <c r="D7" s="1" t="s">
        <v>12</v>
      </c>
      <c r="E7" s="1" t="s">
        <v>11</v>
      </c>
      <c r="F7" s="1" t="s">
        <v>12</v>
      </c>
      <c r="G7" s="1" t="s">
        <v>11</v>
      </c>
      <c r="H7" s="1" t="s">
        <v>12</v>
      </c>
      <c r="I7" s="1" t="s">
        <v>11</v>
      </c>
      <c r="J7" s="1" t="s">
        <v>12</v>
      </c>
      <c r="K7" s="17"/>
    </row>
    <row r="8" spans="1:11" x14ac:dyDescent="0.25">
      <c r="A8" s="2" t="s">
        <v>13</v>
      </c>
      <c r="B8" s="3" t="s">
        <v>14</v>
      </c>
      <c r="C8" s="4">
        <v>0</v>
      </c>
      <c r="D8" s="5">
        <v>0</v>
      </c>
      <c r="E8" s="4">
        <v>0</v>
      </c>
      <c r="F8" s="5">
        <v>0</v>
      </c>
      <c r="G8" s="4">
        <v>0</v>
      </c>
      <c r="H8" s="5">
        <v>0</v>
      </c>
      <c r="I8" s="4">
        <v>0</v>
      </c>
      <c r="J8" s="5">
        <v>0</v>
      </c>
      <c r="K8" s="4">
        <v>0</v>
      </c>
    </row>
    <row r="9" spans="1:11" x14ac:dyDescent="0.25">
      <c r="A9" s="6" t="s">
        <v>15</v>
      </c>
      <c r="B9" s="7" t="s">
        <v>14</v>
      </c>
      <c r="C9" s="8">
        <v>12</v>
      </c>
      <c r="D9" s="9">
        <v>540</v>
      </c>
      <c r="E9" s="8">
        <v>80</v>
      </c>
      <c r="F9" s="9">
        <v>3600</v>
      </c>
      <c r="G9" s="8">
        <v>20</v>
      </c>
      <c r="H9" s="9">
        <v>2619</v>
      </c>
      <c r="I9" s="8">
        <v>72</v>
      </c>
      <c r="J9" s="9">
        <v>3240</v>
      </c>
      <c r="K9" s="8">
        <v>2</v>
      </c>
    </row>
    <row r="10" spans="1:11" x14ac:dyDescent="0.25">
      <c r="A10" s="2" t="s">
        <v>16</v>
      </c>
      <c r="B10" s="3" t="s">
        <v>14</v>
      </c>
      <c r="C10" s="4">
        <v>10</v>
      </c>
      <c r="D10" s="5">
        <v>9500</v>
      </c>
      <c r="E10" s="4">
        <v>10</v>
      </c>
      <c r="F10" s="5">
        <v>9500</v>
      </c>
      <c r="G10" s="4">
        <v>19</v>
      </c>
      <c r="H10" s="5">
        <v>19000</v>
      </c>
      <c r="I10" s="4">
        <v>1</v>
      </c>
      <c r="J10" s="5">
        <v>950</v>
      </c>
      <c r="K10" s="4">
        <v>0</v>
      </c>
    </row>
    <row r="11" spans="1:11" x14ac:dyDescent="0.25">
      <c r="A11" s="6" t="s">
        <v>17</v>
      </c>
      <c r="B11" s="7" t="s">
        <v>14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</row>
    <row r="12" spans="1:11" x14ac:dyDescent="0.25">
      <c r="A12" s="2" t="s">
        <v>18</v>
      </c>
      <c r="B12" s="3" t="s">
        <v>19</v>
      </c>
      <c r="C12" s="4">
        <v>535</v>
      </c>
      <c r="D12" s="5">
        <v>69699.8</v>
      </c>
      <c r="E12" s="4">
        <v>0</v>
      </c>
      <c r="F12" s="5">
        <v>0</v>
      </c>
      <c r="G12" s="4">
        <v>250</v>
      </c>
      <c r="H12" s="5">
        <v>35000</v>
      </c>
      <c r="I12" s="4">
        <v>285</v>
      </c>
      <c r="J12" s="5">
        <v>37129.800000000003</v>
      </c>
      <c r="K12" s="4">
        <v>5</v>
      </c>
    </row>
    <row r="13" spans="1:11" x14ac:dyDescent="0.25">
      <c r="A13" s="6" t="s">
        <v>20</v>
      </c>
      <c r="B13" s="7" t="s">
        <v>21</v>
      </c>
      <c r="C13" s="8">
        <v>8</v>
      </c>
      <c r="D13" s="9">
        <v>1000</v>
      </c>
      <c r="E13" s="8">
        <v>0</v>
      </c>
      <c r="F13" s="9">
        <v>0</v>
      </c>
      <c r="G13" s="8">
        <v>0</v>
      </c>
      <c r="H13" s="9">
        <v>0</v>
      </c>
      <c r="I13" s="8">
        <v>8</v>
      </c>
      <c r="J13" s="9">
        <v>1000</v>
      </c>
      <c r="K13" s="8">
        <v>8</v>
      </c>
    </row>
    <row r="14" spans="1:11" x14ac:dyDescent="0.25">
      <c r="A14" s="2" t="s">
        <v>22</v>
      </c>
      <c r="B14" s="3" t="s">
        <v>14</v>
      </c>
      <c r="C14" s="4">
        <v>0</v>
      </c>
      <c r="D14" s="5">
        <v>0</v>
      </c>
      <c r="E14" s="4">
        <v>0</v>
      </c>
      <c r="F14" s="5">
        <v>0</v>
      </c>
      <c r="G14" s="4">
        <v>0</v>
      </c>
      <c r="H14" s="5">
        <v>0</v>
      </c>
      <c r="I14" s="4">
        <v>0</v>
      </c>
      <c r="J14" s="5">
        <v>0</v>
      </c>
      <c r="K14" s="4">
        <v>0</v>
      </c>
    </row>
    <row r="15" spans="1:11" x14ac:dyDescent="0.25">
      <c r="A15" s="6" t="s">
        <v>23</v>
      </c>
      <c r="B15" s="7" t="s">
        <v>14</v>
      </c>
      <c r="C15" s="8">
        <v>0</v>
      </c>
      <c r="D15" s="9">
        <v>0</v>
      </c>
      <c r="E15" s="8">
        <v>0</v>
      </c>
      <c r="F15" s="9">
        <v>0</v>
      </c>
      <c r="G15" s="8">
        <v>0</v>
      </c>
      <c r="H15" s="9">
        <v>0</v>
      </c>
      <c r="I15" s="8">
        <v>0</v>
      </c>
      <c r="J15" s="9">
        <v>0</v>
      </c>
      <c r="K15" s="8">
        <v>0</v>
      </c>
    </row>
    <row r="16" spans="1:11" x14ac:dyDescent="0.25">
      <c r="A16" s="2" t="s">
        <v>24</v>
      </c>
      <c r="B16" s="3" t="s">
        <v>14</v>
      </c>
      <c r="C16" s="4">
        <v>0</v>
      </c>
      <c r="D16" s="5">
        <v>0</v>
      </c>
      <c r="E16" s="4">
        <v>0</v>
      </c>
      <c r="F16" s="5">
        <v>0</v>
      </c>
      <c r="G16" s="4">
        <v>0</v>
      </c>
      <c r="H16" s="5">
        <v>0</v>
      </c>
      <c r="I16" s="4">
        <v>0</v>
      </c>
      <c r="J16" s="5">
        <v>0</v>
      </c>
      <c r="K16" s="4">
        <v>0</v>
      </c>
    </row>
    <row r="17" spans="1:11" x14ac:dyDescent="0.25">
      <c r="A17" s="6" t="s">
        <v>25</v>
      </c>
      <c r="B17" s="7" t="s">
        <v>14</v>
      </c>
      <c r="C17" s="8">
        <v>0</v>
      </c>
      <c r="D17" s="9">
        <v>0</v>
      </c>
      <c r="E17" s="8">
        <v>0</v>
      </c>
      <c r="F17" s="9">
        <v>0</v>
      </c>
      <c r="G17" s="8">
        <v>0</v>
      </c>
      <c r="H17" s="9">
        <v>0</v>
      </c>
      <c r="I17" s="8">
        <v>0</v>
      </c>
      <c r="J17" s="9">
        <v>0</v>
      </c>
      <c r="K17" s="8">
        <v>0</v>
      </c>
    </row>
    <row r="18" spans="1:11" x14ac:dyDescent="0.25">
      <c r="A18" s="2" t="s">
        <v>26</v>
      </c>
      <c r="B18" s="3" t="s">
        <v>14</v>
      </c>
      <c r="C18" s="4">
        <v>0</v>
      </c>
      <c r="D18" s="5">
        <v>0</v>
      </c>
      <c r="E18" s="4">
        <v>0</v>
      </c>
      <c r="F18" s="5">
        <v>0</v>
      </c>
      <c r="G18" s="4">
        <v>0</v>
      </c>
      <c r="H18" s="5">
        <v>0</v>
      </c>
      <c r="I18" s="4">
        <v>0</v>
      </c>
      <c r="J18" s="5">
        <v>0</v>
      </c>
      <c r="K18" s="4">
        <v>0</v>
      </c>
    </row>
    <row r="19" spans="1:11" x14ac:dyDescent="0.25">
      <c r="A19" s="6" t="s">
        <v>27</v>
      </c>
      <c r="B19" s="7" t="s">
        <v>28</v>
      </c>
      <c r="C19" s="8">
        <v>21</v>
      </c>
      <c r="D19" s="9">
        <v>10500</v>
      </c>
      <c r="E19" s="8">
        <v>10</v>
      </c>
      <c r="F19" s="9">
        <v>5000</v>
      </c>
      <c r="G19" s="8">
        <v>10</v>
      </c>
      <c r="H19" s="9">
        <v>7200</v>
      </c>
      <c r="I19" s="8">
        <v>21</v>
      </c>
      <c r="J19" s="9">
        <v>10500</v>
      </c>
      <c r="K19" s="8">
        <v>0</v>
      </c>
    </row>
    <row r="20" spans="1:11" x14ac:dyDescent="0.25">
      <c r="A20" s="2" t="s">
        <v>29</v>
      </c>
      <c r="B20" s="3" t="s">
        <v>30</v>
      </c>
      <c r="C20" s="4">
        <v>0</v>
      </c>
      <c r="D20" s="5">
        <v>0</v>
      </c>
      <c r="E20" s="4">
        <v>0</v>
      </c>
      <c r="F20" s="5">
        <v>0</v>
      </c>
      <c r="G20" s="4">
        <v>0</v>
      </c>
      <c r="H20" s="5">
        <v>0</v>
      </c>
      <c r="I20" s="4">
        <v>0</v>
      </c>
      <c r="J20" s="5">
        <v>0</v>
      </c>
      <c r="K20" s="4">
        <v>0</v>
      </c>
    </row>
    <row r="21" spans="1:11" x14ac:dyDescent="0.25">
      <c r="A21" s="6" t="s">
        <v>31</v>
      </c>
      <c r="B21" s="7" t="s">
        <v>14</v>
      </c>
      <c r="C21" s="8">
        <v>0</v>
      </c>
      <c r="D21" s="9">
        <v>0</v>
      </c>
      <c r="E21" s="8">
        <v>0</v>
      </c>
      <c r="F21" s="9">
        <v>0</v>
      </c>
      <c r="G21" s="8">
        <v>0</v>
      </c>
      <c r="H21" s="9">
        <v>0</v>
      </c>
      <c r="I21" s="8">
        <v>0</v>
      </c>
      <c r="J21" s="9">
        <v>0</v>
      </c>
      <c r="K21" s="8">
        <v>0</v>
      </c>
    </row>
    <row r="22" spans="1:11" x14ac:dyDescent="0.25">
      <c r="A22" s="2" t="s">
        <v>32</v>
      </c>
      <c r="B22" s="3" t="s">
        <v>14</v>
      </c>
      <c r="C22" s="4">
        <v>0</v>
      </c>
      <c r="D22" s="5">
        <v>0</v>
      </c>
      <c r="E22" s="4">
        <v>0</v>
      </c>
      <c r="F22" s="5">
        <v>0</v>
      </c>
      <c r="G22" s="4">
        <v>0</v>
      </c>
      <c r="H22" s="5">
        <v>0</v>
      </c>
      <c r="I22" s="4">
        <v>0</v>
      </c>
      <c r="J22" s="5">
        <v>0</v>
      </c>
      <c r="K22" s="4">
        <v>0</v>
      </c>
    </row>
    <row r="23" spans="1:11" x14ac:dyDescent="0.25">
      <c r="A23" s="6" t="s">
        <v>33</v>
      </c>
      <c r="B23" s="7" t="s">
        <v>34</v>
      </c>
      <c r="C23" s="8">
        <v>61</v>
      </c>
      <c r="D23" s="9">
        <v>26230</v>
      </c>
      <c r="E23" s="8">
        <v>0</v>
      </c>
      <c r="F23" s="9">
        <v>0</v>
      </c>
      <c r="G23" s="8">
        <v>10</v>
      </c>
      <c r="H23" s="9">
        <v>4730</v>
      </c>
      <c r="I23" s="8">
        <v>51</v>
      </c>
      <c r="J23" s="9">
        <v>21930</v>
      </c>
      <c r="K23" s="8">
        <v>21</v>
      </c>
    </row>
    <row r="24" spans="1:11" x14ac:dyDescent="0.25">
      <c r="A24" s="2" t="s">
        <v>35</v>
      </c>
      <c r="B24" s="3" t="s">
        <v>34</v>
      </c>
      <c r="C24" s="4">
        <v>0</v>
      </c>
      <c r="D24" s="5">
        <v>0</v>
      </c>
      <c r="E24" s="4">
        <v>0</v>
      </c>
      <c r="F24" s="5">
        <v>0</v>
      </c>
      <c r="G24" s="4">
        <v>0</v>
      </c>
      <c r="H24" s="5">
        <v>0</v>
      </c>
      <c r="I24" s="4">
        <v>0</v>
      </c>
      <c r="J24" s="5">
        <v>0</v>
      </c>
      <c r="K24" s="4">
        <v>0</v>
      </c>
    </row>
    <row r="25" spans="1:11" x14ac:dyDescent="0.25">
      <c r="A25" s="6" t="s">
        <v>36</v>
      </c>
      <c r="B25" s="7" t="s">
        <v>14</v>
      </c>
      <c r="C25" s="8">
        <v>150</v>
      </c>
      <c r="D25" s="9">
        <v>13950</v>
      </c>
      <c r="E25" s="8">
        <v>210</v>
      </c>
      <c r="F25" s="9">
        <v>19530</v>
      </c>
      <c r="G25" s="8">
        <v>250</v>
      </c>
      <c r="H25" s="9">
        <v>36206.300000000003</v>
      </c>
      <c r="I25" s="8">
        <v>110</v>
      </c>
      <c r="J25" s="9">
        <v>10230</v>
      </c>
      <c r="K25" s="8">
        <v>0</v>
      </c>
    </row>
    <row r="26" spans="1:11" x14ac:dyDescent="0.25">
      <c r="A26" s="2" t="s">
        <v>37</v>
      </c>
      <c r="B26" s="3" t="s">
        <v>38</v>
      </c>
      <c r="C26" s="4">
        <v>0</v>
      </c>
      <c r="D26" s="5">
        <v>0</v>
      </c>
      <c r="E26" s="4">
        <v>0</v>
      </c>
      <c r="F26" s="5">
        <v>0</v>
      </c>
      <c r="G26" s="4">
        <v>0</v>
      </c>
      <c r="H26" s="5">
        <v>0</v>
      </c>
      <c r="I26" s="4">
        <v>0</v>
      </c>
      <c r="J26" s="5">
        <v>0</v>
      </c>
      <c r="K26" s="4">
        <v>0</v>
      </c>
    </row>
    <row r="27" spans="1:11" x14ac:dyDescent="0.25">
      <c r="A27" s="6" t="s">
        <v>39</v>
      </c>
      <c r="B27" s="7" t="s">
        <v>14</v>
      </c>
      <c r="C27" s="8">
        <v>5</v>
      </c>
      <c r="D27" s="9">
        <v>4900</v>
      </c>
      <c r="E27" s="8">
        <v>0</v>
      </c>
      <c r="F27" s="9">
        <v>0</v>
      </c>
      <c r="G27" s="8">
        <v>0</v>
      </c>
      <c r="H27" s="9">
        <v>0</v>
      </c>
      <c r="I27" s="8">
        <v>5</v>
      </c>
      <c r="J27" s="9">
        <v>4900</v>
      </c>
      <c r="K27" s="8">
        <v>5</v>
      </c>
    </row>
    <row r="28" spans="1:11" x14ac:dyDescent="0.25">
      <c r="A28" s="2" t="s">
        <v>40</v>
      </c>
      <c r="B28" s="3" t="s">
        <v>14</v>
      </c>
      <c r="C28" s="4">
        <v>540</v>
      </c>
      <c r="D28" s="5">
        <v>37800</v>
      </c>
      <c r="E28" s="4">
        <v>0</v>
      </c>
      <c r="F28" s="5">
        <v>0</v>
      </c>
      <c r="G28" s="4">
        <v>250</v>
      </c>
      <c r="H28" s="5">
        <v>19250</v>
      </c>
      <c r="I28" s="4">
        <v>290</v>
      </c>
      <c r="J28" s="5">
        <v>20300</v>
      </c>
      <c r="K28" s="4">
        <v>729</v>
      </c>
    </row>
    <row r="29" spans="1:11" x14ac:dyDescent="0.25">
      <c r="A29" s="6" t="s">
        <v>41</v>
      </c>
      <c r="B29" s="7" t="s">
        <v>14</v>
      </c>
      <c r="C29" s="8">
        <v>29</v>
      </c>
      <c r="D29" s="9">
        <v>7250</v>
      </c>
      <c r="E29" s="8">
        <v>0</v>
      </c>
      <c r="F29" s="9">
        <v>0</v>
      </c>
      <c r="G29" s="8">
        <v>0</v>
      </c>
      <c r="H29" s="9">
        <v>0</v>
      </c>
      <c r="I29" s="8">
        <v>20</v>
      </c>
      <c r="J29" s="9">
        <v>5000</v>
      </c>
      <c r="K29" s="8">
        <v>20</v>
      </c>
    </row>
    <row r="30" spans="1:11" x14ac:dyDescent="0.25">
      <c r="A30" s="2" t="s">
        <v>42</v>
      </c>
      <c r="B30" s="3" t="s">
        <v>14</v>
      </c>
      <c r="C30" s="4">
        <v>21</v>
      </c>
      <c r="D30" s="5">
        <v>22448</v>
      </c>
      <c r="E30" s="4">
        <v>120</v>
      </c>
      <c r="F30" s="5">
        <v>0</v>
      </c>
      <c r="G30" s="4">
        <v>46</v>
      </c>
      <c r="H30" s="5">
        <v>27675</v>
      </c>
      <c r="I30" s="4">
        <v>95</v>
      </c>
      <c r="J30" s="5">
        <v>34960</v>
      </c>
      <c r="K30" s="4">
        <v>15</v>
      </c>
    </row>
    <row r="31" spans="1:11" x14ac:dyDescent="0.25">
      <c r="A31" s="6" t="s">
        <v>43</v>
      </c>
      <c r="B31" s="7" t="s">
        <v>14</v>
      </c>
      <c r="C31" s="8">
        <v>50</v>
      </c>
      <c r="D31" s="9">
        <v>11750</v>
      </c>
      <c r="E31" s="8">
        <v>0</v>
      </c>
      <c r="F31" s="9">
        <v>0</v>
      </c>
      <c r="G31" s="8">
        <v>0</v>
      </c>
      <c r="H31" s="9">
        <v>0</v>
      </c>
      <c r="I31" s="8">
        <v>50</v>
      </c>
      <c r="J31" s="9">
        <v>11750</v>
      </c>
      <c r="K31" s="8">
        <v>50</v>
      </c>
    </row>
    <row r="32" spans="1:11" x14ac:dyDescent="0.25">
      <c r="A32" s="2" t="s">
        <v>44</v>
      </c>
      <c r="B32" s="3" t="s">
        <v>14</v>
      </c>
      <c r="C32" s="4">
        <v>30</v>
      </c>
      <c r="D32" s="5">
        <v>10800</v>
      </c>
      <c r="E32" s="4">
        <v>0</v>
      </c>
      <c r="F32" s="5">
        <v>0</v>
      </c>
      <c r="G32" s="4">
        <v>0</v>
      </c>
      <c r="H32" s="5">
        <v>0</v>
      </c>
      <c r="I32" s="4">
        <v>30</v>
      </c>
      <c r="J32" s="5">
        <v>10800</v>
      </c>
      <c r="K32" s="4">
        <v>30</v>
      </c>
    </row>
    <row r="33" spans="1:11" x14ac:dyDescent="0.25">
      <c r="A33" s="6" t="s">
        <v>45</v>
      </c>
      <c r="B33" s="7" t="s">
        <v>19</v>
      </c>
      <c r="C33" s="8">
        <v>10</v>
      </c>
      <c r="D33" s="9">
        <v>3800</v>
      </c>
      <c r="E33" s="8">
        <v>0</v>
      </c>
      <c r="F33" s="9">
        <v>0</v>
      </c>
      <c r="G33" s="8">
        <v>0</v>
      </c>
      <c r="H33" s="9">
        <v>0</v>
      </c>
      <c r="I33" s="8">
        <v>10</v>
      </c>
      <c r="J33" s="9">
        <v>3800</v>
      </c>
      <c r="K33" s="8">
        <v>10</v>
      </c>
    </row>
    <row r="34" spans="1:11" x14ac:dyDescent="0.25">
      <c r="A34" s="2" t="s">
        <v>46</v>
      </c>
      <c r="B34" s="3" t="s">
        <v>14</v>
      </c>
      <c r="C34" s="4">
        <v>0</v>
      </c>
      <c r="D34" s="5">
        <v>0</v>
      </c>
      <c r="E34" s="4">
        <v>0</v>
      </c>
      <c r="F34" s="5">
        <v>0</v>
      </c>
      <c r="G34" s="4">
        <v>0</v>
      </c>
      <c r="H34" s="5">
        <v>0</v>
      </c>
      <c r="I34" s="4">
        <v>0</v>
      </c>
      <c r="J34" s="5">
        <v>0</v>
      </c>
      <c r="K34" s="4">
        <v>0</v>
      </c>
    </row>
    <row r="35" spans="1:11" x14ac:dyDescent="0.25">
      <c r="A35" s="6" t="s">
        <v>47</v>
      </c>
      <c r="B35" s="7" t="s">
        <v>14</v>
      </c>
      <c r="C35" s="8">
        <v>0</v>
      </c>
      <c r="D35" s="9">
        <v>0</v>
      </c>
      <c r="E35" s="8">
        <v>0</v>
      </c>
      <c r="F35" s="9">
        <v>0</v>
      </c>
      <c r="G35" s="8">
        <v>0</v>
      </c>
      <c r="H35" s="9">
        <v>0</v>
      </c>
      <c r="I35" s="8">
        <v>0</v>
      </c>
      <c r="J35" s="9">
        <v>0</v>
      </c>
      <c r="K35" s="8">
        <v>0</v>
      </c>
    </row>
    <row r="36" spans="1:11" x14ac:dyDescent="0.25">
      <c r="A36" s="2" t="s">
        <v>48</v>
      </c>
      <c r="B36" s="3" t="s">
        <v>49</v>
      </c>
      <c r="C36" s="4">
        <v>112</v>
      </c>
      <c r="D36" s="5">
        <v>28000</v>
      </c>
      <c r="E36" s="4">
        <v>100</v>
      </c>
      <c r="F36" s="5">
        <v>25000</v>
      </c>
      <c r="G36" s="4">
        <v>101</v>
      </c>
      <c r="H36" s="5">
        <v>34567.96</v>
      </c>
      <c r="I36" s="4">
        <v>111</v>
      </c>
      <c r="J36" s="5">
        <v>27750</v>
      </c>
      <c r="K36" s="4">
        <v>1</v>
      </c>
    </row>
    <row r="37" spans="1:11" x14ac:dyDescent="0.25">
      <c r="A37" s="10" t="s">
        <v>50</v>
      </c>
      <c r="B37" s="11"/>
      <c r="C37" s="12">
        <f t="shared" ref="C37:K37" si="0">SUM(C8:C36)</f>
        <v>1594</v>
      </c>
      <c r="D37" s="13">
        <f t="shared" si="0"/>
        <v>258167.8</v>
      </c>
      <c r="E37" s="12">
        <f t="shared" si="0"/>
        <v>530</v>
      </c>
      <c r="F37" s="13">
        <f t="shared" si="0"/>
        <v>62630</v>
      </c>
      <c r="G37" s="12">
        <f t="shared" si="0"/>
        <v>956</v>
      </c>
      <c r="H37" s="13">
        <f t="shared" si="0"/>
        <v>186248.25999999998</v>
      </c>
      <c r="I37" s="12">
        <f t="shared" si="0"/>
        <v>1159</v>
      </c>
      <c r="J37" s="13">
        <f t="shared" si="0"/>
        <v>204239.8</v>
      </c>
      <c r="K37" s="12">
        <f t="shared" si="0"/>
        <v>896</v>
      </c>
    </row>
  </sheetData>
  <mergeCells count="11">
    <mergeCell ref="A1:K1"/>
    <mergeCell ref="A2:K2"/>
    <mergeCell ref="K6:K7"/>
    <mergeCell ref="G6:H6"/>
    <mergeCell ref="A6:A7"/>
    <mergeCell ref="B6:B7"/>
    <mergeCell ref="E6:F6"/>
    <mergeCell ref="A4:K4"/>
    <mergeCell ref="C6:D6"/>
    <mergeCell ref="A3:K3"/>
    <mergeCell ref="I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HES</cp:lastModifiedBy>
  <dcterms:created xsi:type="dcterms:W3CDTF">2026-08-01T10:24:26Z</dcterms:created>
  <dcterms:modified xsi:type="dcterms:W3CDTF">2026-08-04T14:45:28Z</dcterms:modified>
</cp:coreProperties>
</file>