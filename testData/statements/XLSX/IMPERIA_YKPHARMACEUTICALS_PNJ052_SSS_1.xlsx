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xWindow="480" yWindow="105" windowWidth="20730" windowHeight="11760"/>
  </bookViews>
  <sheets>
    <sheet name="MARG ERP 9+ Excel Report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<sst xmlns="http://schemas.openxmlformats.org/spreadsheetml/2006/main" count="71">
  <si>
    <t>Y.K PHARMACEUTICALS</t>
  </si>
  <si>
    <t>Shop NO 6, CHETANYA COMPLEX MINI Pindi Street Ludhiana 141008 Pb India</t>
  </si>
  <si>
    <t>Phone : 5041110 8647900009 5110  4241 E-Mail : ykpharmaceuticals@rediffmail.com</t>
  </si>
  <si>
    <t>STOCK &amp; SALES ANALYSIS  (LINUX LABORATORIES PVT LTD) 01-07-2026 - 31-07-2026</t>
  </si>
  <si>
    <t>ITEM DESCRIPTION</t>
  </si>
  <si>
    <t xml:space="preserve">   OPENING</t>
  </si>
  <si>
    <t/>
  </si>
  <si>
    <t xml:space="preserve">   RECEIPT</t>
  </si>
  <si>
    <t xml:space="preserve">    ISSUE</t>
  </si>
  <si>
    <t xml:space="preserve">   CLOSING</t>
  </si>
  <si>
    <t>QTY.</t>
  </si>
  <si>
    <t>VALUE</t>
  </si>
  <si>
    <t>LINUX LABORATORIES PVT LTD</t>
  </si>
  <si>
    <t>BRITAM 100MG SR TAB         1*10</t>
  </si>
  <si>
    <t xml:space="preserve"> -</t>
  </si>
  <si>
    <t>BRITAM 100MG TAB            1*10</t>
  </si>
  <si>
    <t>BRITAM 25MG TAB             1*10</t>
  </si>
  <si>
    <t>BRITAM 50 MG                1*10</t>
  </si>
  <si>
    <t>BRITAM 50SR                 1*10</t>
  </si>
  <si>
    <t>BRITAM 75 TAB               1*10</t>
  </si>
  <si>
    <t>BRITAM SYRUP</t>
  </si>
  <si>
    <t>CITALIN 10                  1*15</t>
  </si>
  <si>
    <t>CITALIN 20                  1*10</t>
  </si>
  <si>
    <t>CITALIN 5                   1*10</t>
  </si>
  <si>
    <t>CITALIN FORTE TAB           1*10</t>
  </si>
  <si>
    <t>CITALIN LITE TAB            1*10</t>
  </si>
  <si>
    <t>CITALIN PLUS TAB            1*10</t>
  </si>
  <si>
    <t>CLOBANIL 10MG               1*10</t>
  </si>
  <si>
    <t>CLOBANIL 5                  1*10</t>
  </si>
  <si>
    <t>CLOBANIL MD 10MG TAB        1*10</t>
  </si>
  <si>
    <t>CLOBANIL MD 5MG TAB         1*10</t>
  </si>
  <si>
    <t>CLOBANIL SYP                120ML</t>
  </si>
  <si>
    <t>COGNITAM 400 TAB            1*10</t>
  </si>
  <si>
    <t>COGNITAM 800 TAB.           1*10</t>
  </si>
  <si>
    <t>COGNITAM INJ 60ML           1</t>
  </si>
  <si>
    <t>COGNITAM PLUS TAB 5%        1*10</t>
  </si>
  <si>
    <t>COGNITAM SYP                1X1</t>
  </si>
  <si>
    <t>COGNIVEL D TAB 5%           1*10</t>
  </si>
  <si>
    <t>COGNIVEL TAB                1*10</t>
  </si>
  <si>
    <t>FLITRAZ TAB.                1*10</t>
  </si>
  <si>
    <t>IGNICAR 400MG TAB           1*10</t>
  </si>
  <si>
    <t>IGNICAR DS PLUS SYP         1</t>
  </si>
  <si>
    <t>IGNICAR SYRUP               200ML</t>
  </si>
  <si>
    <t>IGNICAR TAB                 1*10</t>
  </si>
  <si>
    <t>JOYPRIDE 100                1*10</t>
  </si>
  <si>
    <t>JOYPRIDE 50                 1*10</t>
  </si>
  <si>
    <t>LINSOL IV INJ.</t>
  </si>
  <si>
    <t>PATINEX 12.5MG              1*10</t>
  </si>
  <si>
    <t>PATINEX 25MG                1*10</t>
  </si>
  <si>
    <t>PATINEX 37.5                1*10</t>
  </si>
  <si>
    <t>PATINEX LS TAB              1*10</t>
  </si>
  <si>
    <t>PATINEX PLUS                1*10</t>
  </si>
  <si>
    <t>PREGALIFT ER 50MG           1*010</t>
  </si>
  <si>
    <t>PREGALIFT ER 75 5%          1*10</t>
  </si>
  <si>
    <t>PREGALIFT NT                1*10</t>
  </si>
  <si>
    <t>PREGALIFT PLUS              1*10</t>
  </si>
  <si>
    <t>REXITE BT TAB               1*10</t>
  </si>
  <si>
    <t>REXITE D3 TAB               1*10</t>
  </si>
  <si>
    <t>REXITE PFS                  1 ML</t>
  </si>
  <si>
    <t>REXITE PLUS CAPS            1*15</t>
  </si>
  <si>
    <t>REXITE PLUS INJ             1*1</t>
  </si>
  <si>
    <t>RISCURE 0.5MG               1*10</t>
  </si>
  <si>
    <t>RISCURE 1MG TAB             1*10</t>
  </si>
  <si>
    <t>RISCURE LS TAB              1*10</t>
  </si>
  <si>
    <t>RISCURE PLUS                1*10</t>
  </si>
  <si>
    <t>VORTICA 10MG                1*10</t>
  </si>
  <si>
    <t>VORTICA 20 MG               1*10</t>
  </si>
  <si>
    <t>VORTICA 5 MG                1*10</t>
  </si>
  <si>
    <t>ZOLCALM 5MG TAB             1*15</t>
  </si>
  <si>
    <t>ZOLCLAM 10MG                1*15</t>
  </si>
  <si>
    <t>Digital Purchase | ERP Ordering | Healthcare QRCode on bills for extra earnings | Call MARG 01614608778,9357635785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</si>
</sst>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</numFmts>
  <fonts count="30">
    <font>
      <sz val="11"/>
      <name val="Calibri"/>
      <charset val="134"/>
    </font>
    <font>
      <b/>
      <sz val="12"/>
      <color rgb="FF000000"/>
      <name val="Arial"/>
      <charset val="134"/>
    </font>
    <font>
      <sz val="8"/>
      <color rgb="FF000000"/>
      <name val="Arial"/>
      <charset val="134"/>
    </font>
    <font>
      <b/>
      <sz val="10"/>
      <color rgb="FF000000"/>
      <name val="Arial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Arial"/>
      <charset val="134"/>
    </font>
    <font>
      <sz val="10"/>
      <color rgb="FF000000"/>
      <name val="Courier New"/>
      <charset val="134"/>
    </font>
    <font>
      <sz val="10"/>
      <color rgb="FF000000"/>
      <name val="Arial"/>
      <charset val="134"/>
    </font>
    <font>
      <i/>
      <sz val="8"/>
      <color rgb="FF000000"/>
      <name val="Arial Narrow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 applyBorder="0">
      <alignment vertical="center"/>
    </xf>
    <xf numFmtId="0" fontId="21" fillId="10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3" fillId="5" borderId="6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2" borderId="8" applyNumberFormat="0" applyFont="0" applyAlignment="0" applyProtection="0">
      <alignment vertical="center"/>
    </xf>
    <xf numFmtId="0" fontId="22" fillId="9" borderId="4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0" fontId="26" fillId="21" borderId="7" applyNumberFormat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49" fontId="3" fillId="2" borderId="1" xfId="0" applyNumberFormat="1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5" fillId="0" borderId="1" xfId="0" applyFont="1" applyBorder="1" applyAlignment="1"/>
    <xf numFmtId="49" fontId="6" fillId="0" borderId="2" xfId="0" applyNumberFormat="1" applyFont="1" applyBorder="1" applyAlignment="1">
      <alignment horizontal="left" vertical="top"/>
    </xf>
    <xf numFmtId="49" fontId="7" fillId="0" borderId="1" xfId="0" applyNumberFormat="1" applyFont="1" applyBorder="1" applyAlignment="1"/>
    <xf numFmtId="49" fontId="8" fillId="0" borderId="1" xfId="0" applyNumberFormat="1" applyFont="1" applyBorder="1" applyAlignment="1"/>
    <xf numFmtId="2" fontId="8" fillId="0" borderId="1" xfId="0" applyNumberFormat="1" applyFont="1" applyBorder="1" applyAlignment="1"/>
    <xf numFmtId="1" fontId="8" fillId="0" borderId="1" xfId="0" applyNumberFormat="1" applyFont="1" applyBorder="1" applyAlignment="1"/>
    <xf numFmtId="49" fontId="3" fillId="3" borderId="1" xfId="0" applyNumberFormat="1" applyFont="1" applyFill="1" applyBorder="1" applyAlignment="1"/>
    <xf numFmtId="1" fontId="3" fillId="3" borderId="1" xfId="0" applyNumberFormat="1" applyFont="1" applyFill="1" applyBorder="1" applyAlignment="1"/>
    <xf numFmtId="2" fontId="3" fillId="3" borderId="1" xfId="0" applyNumberFormat="1" applyFont="1" applyFill="1" applyBorder="1" applyAlignment="1"/>
    <xf numFmtId="0" fontId="9" fillId="0" borderId="2" xfId="0" applyFont="1" applyBorder="1" applyAlignment="1">
      <alignment horizontal="left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Accent1" xfId="19" builtinId="29"/>
    <cellStyle name="Comma[0]" xfId="20" builtinId="6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60% - Accent3" xfId="36" builtinId="40"/>
    <cellStyle name="Currency[0]" xfId="37" builtinId="7"/>
    <cellStyle name="Heading 1" xfId="38" builtinId="16"/>
    <cellStyle name="20% - Accent6" xfId="39" builtinId="50"/>
    <cellStyle name="Title" xfId="40" builtinId="15"/>
    <cellStyle name="Warning Text" xfId="41" builtinId="11"/>
    <cellStyle name="20% - Accent1" xfId="42" builtinId="30"/>
    <cellStyle name="Hyperlink" xfId="43" builtinId="8"/>
    <cellStyle name="Followed Hyperlink" xfId="44" builtinId="9"/>
    <cellStyle name="Heading 2" xfId="45" builtinId="17"/>
    <cellStyle name="Comma" xfId="46" builtinId="3"/>
    <cellStyle name="Check Cell" xfId="47" builtinId="23"/>
    <cellStyle name="Percent" xfId="48" builtinId="5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 xr9:uid="267968C86FFD4C36ACC19EA1FD1885CA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66"/>
  <sheetViews>
    <sheetView tabSelected="1" zoomScale="76" zoomScaleNormal="76" workbookViewId="0">
      <selection activeCell="A39" sqref="A39"/>
    </sheetView>
  </sheetViews>
  <sheetFormatPr defaultColWidth="9.64285714285714" defaultRowHeight="13.1"/>
  <cols>
    <col min="1" max="1" width="39.7142857142857" customWidth="1"/>
    <col min="2" max="2" width="11.1428571428571" customWidth="1"/>
    <col min="3" max="3" width="10.5714285714286" customWidth="1"/>
    <col min="4" max="4" width="12" customWidth="1"/>
    <col min="5" max="5" width="9.57142857142857" customWidth="1"/>
    <col min="6" max="6" width="8.85714285714286" customWidth="1"/>
    <col min="7" max="7" width="9.57142857142857" customWidth="1"/>
    <col min="8" max="8" width="11.1428571428571" customWidth="1"/>
    <col min="9" max="9" width="10.5714285714286" customWidth="1"/>
  </cols>
  <sheetData>
    <row r="1" ht="14.25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>
      <c r="A3" s="2" t="s">
        <v>2</v>
      </c>
      <c r="B3" s="2"/>
      <c r="C3" s="2"/>
      <c r="D3" s="2"/>
      <c r="E3" s="2"/>
      <c r="F3" s="2"/>
      <c r="G3" s="2"/>
      <c r="H3" s="2"/>
      <c r="I3" s="2"/>
    </row>
    <row r="4" spans="1:9">
      <c r="A4" s="3" t="s">
        <v>3</v>
      </c>
      <c r="B4" s="3"/>
      <c r="C4" s="3"/>
      <c r="D4" s="3"/>
      <c r="E4" s="3"/>
      <c r="F4" s="3"/>
      <c r="G4" s="3"/>
      <c r="H4" s="3"/>
      <c r="I4" s="3"/>
    </row>
    <row r="5" spans="1:9">
      <c r="A5" s="4" t="s">
        <v>4</v>
      </c>
      <c r="B5" s="4" t="s">
        <v>5</v>
      </c>
      <c r="C5" s="4" t="s">
        <v>6</v>
      </c>
      <c r="D5" s="4" t="s">
        <v>7</v>
      </c>
      <c r="E5" s="4" t="s">
        <v>6</v>
      </c>
      <c r="F5" s="4" t="s">
        <v>8</v>
      </c>
      <c r="G5" s="4" t="s">
        <v>6</v>
      </c>
      <c r="H5" s="4" t="s">
        <v>9</v>
      </c>
      <c r="I5" s="4" t="s">
        <v>6</v>
      </c>
    </row>
    <row r="6" spans="1:9">
      <c r="A6" s="5"/>
      <c r="B6" s="4" t="s">
        <v>10</v>
      </c>
      <c r="C6" s="4" t="s">
        <v>11</v>
      </c>
      <c r="D6" s="4" t="s">
        <v>10</v>
      </c>
      <c r="E6" s="4" t="s">
        <v>11</v>
      </c>
      <c r="F6" s="4" t="s">
        <v>10</v>
      </c>
      <c r="G6" s="4" t="s">
        <v>11</v>
      </c>
      <c r="H6" s="4" t="s">
        <v>10</v>
      </c>
      <c r="I6" s="4" t="s">
        <v>11</v>
      </c>
    </row>
    <row r="7" spans="1:9">
      <c r="A7" s="6"/>
      <c r="B7" s="6"/>
      <c r="C7" s="6"/>
      <c r="D7" s="6"/>
      <c r="E7" s="6"/>
      <c r="F7" s="6"/>
      <c r="G7" s="6"/>
      <c r="H7" s="6"/>
      <c r="I7" s="6"/>
    </row>
    <row r="8" spans="1:9">
      <c r="A8" s="7" t="s">
        <v>12</v>
      </c>
      <c r="B8" s="7"/>
      <c r="C8" s="7"/>
      <c r="D8" s="7"/>
      <c r="E8" s="7"/>
      <c r="F8" s="7"/>
      <c r="G8" s="7"/>
      <c r="H8" s="7"/>
      <c r="I8" s="7"/>
    </row>
    <row r="9" spans="1:9">
      <c r="A9" s="8" t="s">
        <v>13</v>
      </c>
      <c r="B9" s="9" t="s">
        <v>14</v>
      </c>
      <c r="C9" s="10">
        <v>0</v>
      </c>
      <c r="D9" s="9" t="s">
        <v>14</v>
      </c>
      <c r="E9" s="10">
        <v>0</v>
      </c>
      <c r="F9" s="9" t="s">
        <v>14</v>
      </c>
      <c r="G9" s="10">
        <v>0</v>
      </c>
      <c r="H9" s="9" t="s">
        <v>14</v>
      </c>
      <c r="I9" s="10">
        <v>0</v>
      </c>
    </row>
    <row r="10" spans="1:9">
      <c r="A10" s="8" t="s">
        <v>15</v>
      </c>
      <c r="B10" s="11">
        <v>140</v>
      </c>
      <c r="C10" s="10">
        <v>90393.08</v>
      </c>
      <c r="D10" s="11">
        <v>70</v>
      </c>
      <c r="E10" s="10">
        <v>18550</v>
      </c>
      <c r="F10" s="11">
        <v>30</v>
      </c>
      <c r="G10" s="10">
        <v>8833.2</v>
      </c>
      <c r="H10" s="11">
        <v>180</v>
      </c>
      <c r="I10" s="10">
        <v>102170.68</v>
      </c>
    </row>
    <row r="11" spans="1:9">
      <c r="A11" s="8" t="s">
        <v>16</v>
      </c>
      <c r="B11" s="11">
        <v>50</v>
      </c>
      <c r="C11" s="10">
        <v>24041.04</v>
      </c>
      <c r="D11" s="11">
        <v>34</v>
      </c>
      <c r="E11" s="10">
        <v>2249.78</v>
      </c>
      <c r="F11" s="11">
        <v>60</v>
      </c>
      <c r="G11" s="10">
        <v>4411.2</v>
      </c>
      <c r="H11" s="11">
        <v>24</v>
      </c>
      <c r="I11" s="10">
        <v>22129.52</v>
      </c>
    </row>
    <row r="12" spans="1:9">
      <c r="A12" s="8" t="s">
        <v>17</v>
      </c>
      <c r="B12" s="11">
        <v>112</v>
      </c>
      <c r="C12" s="10">
        <v>47234.16</v>
      </c>
      <c r="D12" s="11">
        <v>-17</v>
      </c>
      <c r="E12" s="10">
        <v>-3183.59</v>
      </c>
      <c r="F12" s="11">
        <v>39</v>
      </c>
      <c r="G12" s="10">
        <v>8739.36</v>
      </c>
      <c r="H12" s="11">
        <v>56</v>
      </c>
      <c r="I12" s="10">
        <v>35581.68</v>
      </c>
    </row>
    <row r="13" spans="1:9">
      <c r="A13" s="8" t="s">
        <v>18</v>
      </c>
      <c r="B13" s="11">
        <v>30</v>
      </c>
      <c r="C13" s="10">
        <v>4178.7</v>
      </c>
      <c r="D13" s="11">
        <v>-30</v>
      </c>
      <c r="E13" s="10">
        <v>-3760.8</v>
      </c>
      <c r="F13" s="9" t="s">
        <v>14</v>
      </c>
      <c r="G13" s="10">
        <v>0</v>
      </c>
      <c r="H13" s="11">
        <v>0</v>
      </c>
      <c r="I13" s="10">
        <v>0</v>
      </c>
    </row>
    <row r="14" spans="1:9">
      <c r="A14" s="8" t="s">
        <v>19</v>
      </c>
      <c r="B14" s="11">
        <v>122</v>
      </c>
      <c r="C14" s="10">
        <v>37425.5</v>
      </c>
      <c r="D14" s="11">
        <v>-42</v>
      </c>
      <c r="E14" s="10">
        <v>-8321.88</v>
      </c>
      <c r="F14" s="9" t="s">
        <v>14</v>
      </c>
      <c r="G14" s="10">
        <v>0</v>
      </c>
      <c r="H14" s="11">
        <v>80</v>
      </c>
      <c r="I14" s="10">
        <v>28179.2</v>
      </c>
    </row>
    <row r="15" spans="1:9">
      <c r="A15" s="9" t="s">
        <v>20</v>
      </c>
      <c r="B15" s="11">
        <v>38</v>
      </c>
      <c r="C15" s="10">
        <v>13120</v>
      </c>
      <c r="D15" s="11">
        <v>-2</v>
      </c>
      <c r="E15" s="10">
        <v>-591.78</v>
      </c>
      <c r="F15" s="9" t="s">
        <v>14</v>
      </c>
      <c r="G15" s="10">
        <v>0</v>
      </c>
      <c r="H15" s="11">
        <v>36</v>
      </c>
      <c r="I15" s="10">
        <v>12464</v>
      </c>
    </row>
    <row r="16" spans="1:9">
      <c r="A16" s="8" t="s">
        <v>21</v>
      </c>
      <c r="B16" s="11">
        <v>110</v>
      </c>
      <c r="C16" s="10">
        <v>42760.72</v>
      </c>
      <c r="D16" s="9" t="s">
        <v>14</v>
      </c>
      <c r="E16" s="10">
        <v>0</v>
      </c>
      <c r="F16" s="9" t="s">
        <v>14</v>
      </c>
      <c r="G16" s="10">
        <v>0</v>
      </c>
      <c r="H16" s="11">
        <v>110</v>
      </c>
      <c r="I16" s="10">
        <v>42760.72</v>
      </c>
    </row>
    <row r="17" spans="1:9">
      <c r="A17" s="8" t="s">
        <v>22</v>
      </c>
      <c r="B17" s="11">
        <v>75</v>
      </c>
      <c r="C17" s="10">
        <v>21415.68</v>
      </c>
      <c r="D17" s="11">
        <v>-21</v>
      </c>
      <c r="E17" s="10">
        <v>-2299.71</v>
      </c>
      <c r="F17" s="11">
        <v>-9</v>
      </c>
      <c r="G17" s="10">
        <v>1460.16</v>
      </c>
      <c r="H17" s="11">
        <v>63</v>
      </c>
      <c r="I17" s="10">
        <v>19955.52</v>
      </c>
    </row>
    <row r="18" spans="1:9">
      <c r="A18" s="8" t="s">
        <v>23</v>
      </c>
      <c r="B18" s="11">
        <v>81</v>
      </c>
      <c r="C18" s="10">
        <v>10944</v>
      </c>
      <c r="D18" s="11">
        <v>-29</v>
      </c>
      <c r="E18" s="10">
        <v>-1670.4</v>
      </c>
      <c r="F18" s="11">
        <v>18</v>
      </c>
      <c r="G18" s="10">
        <v>2880</v>
      </c>
      <c r="H18" s="11">
        <v>34</v>
      </c>
      <c r="I18" s="10">
        <v>7936</v>
      </c>
    </row>
    <row r="19" spans="1:9">
      <c r="A19" s="8" t="s">
        <v>24</v>
      </c>
      <c r="B19" s="11">
        <v>97</v>
      </c>
      <c r="C19" s="10">
        <v>28993.58</v>
      </c>
      <c r="D19" s="11">
        <v>-1</v>
      </c>
      <c r="E19" s="10">
        <v>-169.44</v>
      </c>
      <c r="F19" s="11">
        <v>106</v>
      </c>
      <c r="G19" s="10">
        <v>19956.62</v>
      </c>
      <c r="H19" s="11">
        <v>-10</v>
      </c>
      <c r="I19" s="10">
        <v>8848.69</v>
      </c>
    </row>
    <row r="20" spans="1:9">
      <c r="A20" s="8" t="s">
        <v>25</v>
      </c>
      <c r="B20" s="11">
        <v>107</v>
      </c>
      <c r="C20" s="10">
        <v>18674.16</v>
      </c>
      <c r="D20" s="11">
        <v>149</v>
      </c>
      <c r="E20" s="10">
        <v>12276.11</v>
      </c>
      <c r="F20" s="11">
        <v>245</v>
      </c>
      <c r="G20" s="10">
        <v>22427.3</v>
      </c>
      <c r="H20" s="11">
        <v>11</v>
      </c>
      <c r="I20" s="10">
        <v>9886.32</v>
      </c>
    </row>
    <row r="21" spans="1:9">
      <c r="A21" s="8" t="s">
        <v>26</v>
      </c>
      <c r="B21" s="11">
        <v>10</v>
      </c>
      <c r="C21" s="10">
        <v>4670.92</v>
      </c>
      <c r="D21" s="11">
        <v>-2</v>
      </c>
      <c r="E21" s="10">
        <v>-123.64</v>
      </c>
      <c r="F21" s="9" t="s">
        <v>14</v>
      </c>
      <c r="G21" s="10">
        <v>0</v>
      </c>
      <c r="H21" s="11">
        <v>-8</v>
      </c>
      <c r="I21" s="10">
        <v>4533.54</v>
      </c>
    </row>
    <row r="22" spans="1:9">
      <c r="A22" s="8" t="s">
        <v>27</v>
      </c>
      <c r="B22" s="11">
        <v>204</v>
      </c>
      <c r="C22" s="10">
        <v>11750.4</v>
      </c>
      <c r="D22" s="11">
        <v>100</v>
      </c>
      <c r="E22" s="10">
        <v>7344</v>
      </c>
      <c r="F22" s="11">
        <v>134</v>
      </c>
      <c r="G22" s="10">
        <v>10934.4</v>
      </c>
      <c r="H22" s="11">
        <v>170</v>
      </c>
      <c r="I22" s="10">
        <v>8976</v>
      </c>
    </row>
    <row r="23" spans="1:9">
      <c r="A23" s="8" t="s">
        <v>28</v>
      </c>
      <c r="B23" s="11">
        <v>150</v>
      </c>
      <c r="C23" s="10">
        <v>10979.28</v>
      </c>
      <c r="D23" s="11">
        <v>-3</v>
      </c>
      <c r="E23" s="10">
        <v>-126.69</v>
      </c>
      <c r="F23" s="11">
        <v>60</v>
      </c>
      <c r="G23" s="10">
        <v>2815.2</v>
      </c>
      <c r="H23" s="11">
        <v>87</v>
      </c>
      <c r="I23" s="10">
        <v>8023.32</v>
      </c>
    </row>
    <row r="24" spans="1:9">
      <c r="A24" s="8" t="s">
        <v>29</v>
      </c>
      <c r="B24" s="11">
        <v>50</v>
      </c>
      <c r="C24" s="10">
        <v>4106.5</v>
      </c>
      <c r="D24" s="9" t="s">
        <v>14</v>
      </c>
      <c r="E24" s="10">
        <v>0</v>
      </c>
      <c r="F24" s="11">
        <v>39</v>
      </c>
      <c r="G24" s="10">
        <v>3203.07</v>
      </c>
      <c r="H24" s="11">
        <v>11</v>
      </c>
      <c r="I24" s="10">
        <v>903.43</v>
      </c>
    </row>
    <row r="25" spans="1:9">
      <c r="A25" s="8" t="s">
        <v>30</v>
      </c>
      <c r="B25" s="11">
        <v>50</v>
      </c>
      <c r="C25" s="10">
        <v>2361</v>
      </c>
      <c r="D25" s="9" t="s">
        <v>14</v>
      </c>
      <c r="E25" s="10">
        <v>0</v>
      </c>
      <c r="F25" s="11">
        <v>39</v>
      </c>
      <c r="G25" s="10">
        <v>1841.58</v>
      </c>
      <c r="H25" s="11">
        <v>11</v>
      </c>
      <c r="I25" s="10">
        <v>519.42</v>
      </c>
    </row>
    <row r="26" spans="1:9">
      <c r="A26" s="8" t="s">
        <v>31</v>
      </c>
      <c r="B26" s="9" t="s">
        <v>14</v>
      </c>
      <c r="C26" s="10">
        <v>0</v>
      </c>
      <c r="D26" s="11">
        <v>25</v>
      </c>
      <c r="E26" s="10">
        <v>6048</v>
      </c>
      <c r="F26" s="9" t="s">
        <v>14</v>
      </c>
      <c r="G26" s="10">
        <v>0</v>
      </c>
      <c r="H26" s="11">
        <v>25</v>
      </c>
      <c r="I26" s="10">
        <v>6720</v>
      </c>
    </row>
    <row r="27" spans="1:9">
      <c r="A27" s="8" t="s">
        <v>32</v>
      </c>
      <c r="B27" s="11">
        <v>60</v>
      </c>
      <c r="C27" s="10">
        <v>4138.2</v>
      </c>
      <c r="D27" s="9" t="s">
        <v>14</v>
      </c>
      <c r="E27" s="10">
        <v>0</v>
      </c>
      <c r="F27" s="11">
        <v>39</v>
      </c>
      <c r="G27" s="10">
        <v>2445.3</v>
      </c>
      <c r="H27" s="11">
        <v>21</v>
      </c>
      <c r="I27" s="10">
        <v>1692.9</v>
      </c>
    </row>
    <row r="28" spans="1:9">
      <c r="A28" s="8" t="s">
        <v>33</v>
      </c>
      <c r="B28" s="11">
        <v>180</v>
      </c>
      <c r="C28" s="10">
        <v>27436</v>
      </c>
      <c r="D28" s="11">
        <v>-4</v>
      </c>
      <c r="E28" s="10">
        <v>-493.84</v>
      </c>
      <c r="F28" s="11">
        <v>26</v>
      </c>
      <c r="G28" s="10">
        <v>3566.68</v>
      </c>
      <c r="H28" s="11">
        <v>150</v>
      </c>
      <c r="I28" s="10">
        <v>23320.6</v>
      </c>
    </row>
    <row r="29" spans="1:9">
      <c r="A29" s="8" t="s">
        <v>34</v>
      </c>
      <c r="B29" s="11">
        <v>-60</v>
      </c>
      <c r="C29" s="10">
        <v>43029.03</v>
      </c>
      <c r="D29" s="11">
        <v>-125</v>
      </c>
      <c r="E29" s="10">
        <v>-78592.9</v>
      </c>
      <c r="F29" s="11">
        <v>-77</v>
      </c>
      <c r="G29" s="10">
        <v>0</v>
      </c>
      <c r="H29" s="11">
        <v>-137</v>
      </c>
      <c r="I29" s="10">
        <v>-11502.81</v>
      </c>
    </row>
    <row r="30" spans="1:9">
      <c r="A30" s="8" t="s">
        <v>35</v>
      </c>
      <c r="B30" s="11">
        <v>253</v>
      </c>
      <c r="C30" s="10">
        <v>93461.28</v>
      </c>
      <c r="D30" s="11">
        <v>-2</v>
      </c>
      <c r="E30" s="10">
        <v>-955.74</v>
      </c>
      <c r="F30" s="9" t="s">
        <v>14</v>
      </c>
      <c r="G30" s="10">
        <v>0</v>
      </c>
      <c r="H30" s="11">
        <v>251</v>
      </c>
      <c r="I30" s="10">
        <v>92399.22</v>
      </c>
    </row>
    <row r="31" spans="1:9">
      <c r="A31" s="8" t="s">
        <v>36</v>
      </c>
      <c r="B31" s="11">
        <v>29</v>
      </c>
      <c r="C31" s="10">
        <v>6991.12</v>
      </c>
      <c r="D31" s="9" t="s">
        <v>14</v>
      </c>
      <c r="E31" s="10">
        <v>0</v>
      </c>
      <c r="F31" s="9" t="s">
        <v>14</v>
      </c>
      <c r="G31" s="10">
        <v>0</v>
      </c>
      <c r="H31" s="11">
        <v>29</v>
      </c>
      <c r="I31" s="10">
        <v>6991.12</v>
      </c>
    </row>
    <row r="32" spans="1:9">
      <c r="A32" s="8" t="s">
        <v>37</v>
      </c>
      <c r="B32" s="11">
        <v>117</v>
      </c>
      <c r="C32" s="10">
        <v>28432.04</v>
      </c>
      <c r="D32" s="9" t="s">
        <v>14</v>
      </c>
      <c r="E32" s="10">
        <v>0</v>
      </c>
      <c r="F32" s="11">
        <v>18</v>
      </c>
      <c r="G32" s="10">
        <v>3505.32</v>
      </c>
      <c r="H32" s="11">
        <v>99</v>
      </c>
      <c r="I32" s="10">
        <v>24926.72</v>
      </c>
    </row>
    <row r="33" spans="1:9">
      <c r="A33" s="8" t="s">
        <v>38</v>
      </c>
      <c r="B33" s="11">
        <v>50</v>
      </c>
      <c r="C33" s="10">
        <v>13894.82</v>
      </c>
      <c r="D33" s="11">
        <v>50</v>
      </c>
      <c r="E33" s="10">
        <v>10085</v>
      </c>
      <c r="F33" s="11">
        <v>34</v>
      </c>
      <c r="G33" s="10">
        <v>7619.74</v>
      </c>
      <c r="H33" s="11">
        <v>66</v>
      </c>
      <c r="I33" s="10">
        <v>17480.58</v>
      </c>
    </row>
    <row r="34" spans="1:9">
      <c r="A34" s="8" t="s">
        <v>39</v>
      </c>
      <c r="B34" s="11">
        <v>150</v>
      </c>
      <c r="C34" s="10">
        <v>7963.34</v>
      </c>
      <c r="D34" s="11">
        <v>-64</v>
      </c>
      <c r="E34" s="10">
        <v>-2978.56</v>
      </c>
      <c r="F34" s="9" t="s">
        <v>14</v>
      </c>
      <c r="G34" s="10">
        <v>0</v>
      </c>
      <c r="H34" s="11">
        <v>86</v>
      </c>
      <c r="I34" s="10">
        <v>4653.9</v>
      </c>
    </row>
    <row r="35" spans="1:9">
      <c r="A35" s="8" t="s">
        <v>40</v>
      </c>
      <c r="B35" s="11">
        <v>271</v>
      </c>
      <c r="C35" s="10">
        <v>157547.6</v>
      </c>
      <c r="D35" s="11">
        <v>633</v>
      </c>
      <c r="E35" s="10">
        <v>244591.2</v>
      </c>
      <c r="F35" s="11">
        <v>666</v>
      </c>
      <c r="G35" s="10">
        <v>374738.22</v>
      </c>
      <c r="H35" s="11">
        <f>(B35+D35-F35)</f>
        <v>238</v>
      </c>
      <c r="I35" s="10">
        <v>138979.49</v>
      </c>
    </row>
    <row r="36" spans="1:9">
      <c r="A36" s="8" t="s">
        <v>41</v>
      </c>
      <c r="B36" s="11">
        <v>32</v>
      </c>
      <c r="C36" s="10">
        <v>35348.28</v>
      </c>
      <c r="D36" s="9" t="s">
        <v>14</v>
      </c>
      <c r="E36" s="10">
        <v>0</v>
      </c>
      <c r="F36" s="11">
        <v>7</v>
      </c>
      <c r="G36" s="10">
        <v>7498.12</v>
      </c>
      <c r="H36" s="11">
        <v>25</v>
      </c>
      <c r="I36" s="10">
        <v>27850.16</v>
      </c>
    </row>
    <row r="37" spans="1:9">
      <c r="A37" s="8" t="s">
        <v>42</v>
      </c>
      <c r="B37" s="11">
        <v>147</v>
      </c>
      <c r="C37" s="10">
        <v>67109.4</v>
      </c>
      <c r="D37" s="11">
        <v>110</v>
      </c>
      <c r="E37" s="10">
        <v>39390.6</v>
      </c>
      <c r="F37" s="11">
        <v>145</v>
      </c>
      <c r="G37" s="10">
        <v>105770.25</v>
      </c>
      <c r="H37" s="11">
        <v>102</v>
      </c>
      <c r="I37" s="10">
        <v>41578.65</v>
      </c>
    </row>
    <row r="38" spans="1:9">
      <c r="A38" s="8" t="s">
        <v>43</v>
      </c>
      <c r="B38" s="11">
        <v>99</v>
      </c>
      <c r="C38" s="10">
        <v>47899.8</v>
      </c>
      <c r="D38" s="11">
        <v>50</v>
      </c>
      <c r="E38" s="10">
        <v>16580.5</v>
      </c>
      <c r="F38" s="11">
        <v>103</v>
      </c>
      <c r="G38" s="10">
        <v>37951.38</v>
      </c>
      <c r="H38" s="11">
        <v>46</v>
      </c>
      <c r="I38" s="10">
        <v>28371.42</v>
      </c>
    </row>
    <row r="39" spans="1:9">
      <c r="A39" s="8" t="s">
        <v>44</v>
      </c>
      <c r="B39" s="11">
        <v>0</v>
      </c>
      <c r="C39" s="10">
        <v>12780</v>
      </c>
      <c r="D39" s="9" t="s">
        <v>14</v>
      </c>
      <c r="E39" s="10">
        <v>0</v>
      </c>
      <c r="F39" s="11">
        <v>-32</v>
      </c>
      <c r="G39" s="10">
        <v>0</v>
      </c>
      <c r="H39" s="11">
        <v>0</v>
      </c>
      <c r="I39" s="10">
        <v>16188</v>
      </c>
    </row>
    <row r="40" spans="1:9">
      <c r="A40" s="8" t="s">
        <v>45</v>
      </c>
      <c r="B40" s="11">
        <v>100</v>
      </c>
      <c r="C40" s="10">
        <v>6613</v>
      </c>
      <c r="D40" s="9" t="s">
        <v>14</v>
      </c>
      <c r="E40" s="10">
        <v>0</v>
      </c>
      <c r="F40" s="9" t="s">
        <v>14</v>
      </c>
      <c r="G40" s="10">
        <v>0</v>
      </c>
      <c r="H40" s="11">
        <v>100</v>
      </c>
      <c r="I40" s="10">
        <v>6613</v>
      </c>
    </row>
    <row r="41" spans="1:9">
      <c r="A41" s="9" t="s">
        <v>46</v>
      </c>
      <c r="B41" s="11">
        <v>100</v>
      </c>
      <c r="C41" s="10">
        <v>29263.59</v>
      </c>
      <c r="D41" s="9" t="s">
        <v>14</v>
      </c>
      <c r="E41" s="10">
        <v>0</v>
      </c>
      <c r="F41" s="9" t="s">
        <v>14</v>
      </c>
      <c r="G41" s="10">
        <v>0</v>
      </c>
      <c r="H41" s="11">
        <v>100</v>
      </c>
      <c r="I41" s="10">
        <v>29263.59</v>
      </c>
    </row>
    <row r="42" spans="1:9">
      <c r="A42" s="8" t="s">
        <v>47</v>
      </c>
      <c r="B42" s="11">
        <v>88</v>
      </c>
      <c r="C42" s="10">
        <v>17826.6</v>
      </c>
      <c r="D42" s="11">
        <v>58</v>
      </c>
      <c r="E42" s="10">
        <v>7049.9</v>
      </c>
      <c r="F42" s="11">
        <v>80</v>
      </c>
      <c r="G42" s="10">
        <v>10804</v>
      </c>
      <c r="H42" s="11">
        <v>66</v>
      </c>
      <c r="I42" s="10">
        <v>14855.5</v>
      </c>
    </row>
    <row r="43" spans="1:9">
      <c r="A43" s="8" t="s">
        <v>48</v>
      </c>
      <c r="B43" s="11">
        <v>82</v>
      </c>
      <c r="C43" s="10">
        <v>20928.7</v>
      </c>
      <c r="D43" s="11">
        <v>-1</v>
      </c>
      <c r="E43" s="10">
        <v>-144.89</v>
      </c>
      <c r="F43" s="11">
        <v>50</v>
      </c>
      <c r="G43" s="10">
        <v>8049.5</v>
      </c>
      <c r="H43" s="11">
        <v>31</v>
      </c>
      <c r="I43" s="10">
        <v>12718.21</v>
      </c>
    </row>
    <row r="44" spans="1:9">
      <c r="A44" s="8" t="s">
        <v>49</v>
      </c>
      <c r="B44" s="11">
        <v>100</v>
      </c>
      <c r="C44" s="10">
        <v>18712</v>
      </c>
      <c r="D44" s="9" t="s">
        <v>14</v>
      </c>
      <c r="E44" s="10">
        <v>0</v>
      </c>
      <c r="F44" s="9" t="s">
        <v>14</v>
      </c>
      <c r="G44" s="10">
        <v>0</v>
      </c>
      <c r="H44" s="11">
        <v>100</v>
      </c>
      <c r="I44" s="10">
        <v>18712</v>
      </c>
    </row>
    <row r="45" spans="1:9">
      <c r="A45" s="8" t="s">
        <v>50</v>
      </c>
      <c r="B45" s="11">
        <v>70</v>
      </c>
      <c r="C45" s="10">
        <v>7137.52</v>
      </c>
      <c r="D45" s="11">
        <v>14</v>
      </c>
      <c r="E45" s="10">
        <v>1729.42</v>
      </c>
      <c r="F45" s="11">
        <v>60</v>
      </c>
      <c r="G45" s="10">
        <v>8235.6</v>
      </c>
      <c r="H45" s="11">
        <v>24</v>
      </c>
      <c r="I45" s="10">
        <v>823.56</v>
      </c>
    </row>
    <row r="46" spans="1:9">
      <c r="A46" s="8" t="s">
        <v>51</v>
      </c>
      <c r="B46" s="11">
        <v>130</v>
      </c>
      <c r="C46" s="10">
        <v>18868.39</v>
      </c>
      <c r="D46" s="11">
        <v>-50</v>
      </c>
      <c r="E46" s="10">
        <v>-6685.5</v>
      </c>
      <c r="F46" s="11">
        <v>15</v>
      </c>
      <c r="G46" s="10">
        <v>2228.55</v>
      </c>
      <c r="H46" s="11">
        <v>65</v>
      </c>
      <c r="I46" s="10">
        <v>9211.34</v>
      </c>
    </row>
    <row r="47" spans="1:9">
      <c r="A47" s="8" t="s">
        <v>52</v>
      </c>
      <c r="B47" s="11">
        <v>-12</v>
      </c>
      <c r="C47" s="10">
        <v>4760.64</v>
      </c>
      <c r="D47" s="9" t="s">
        <v>14</v>
      </c>
      <c r="E47" s="10">
        <v>0</v>
      </c>
      <c r="F47" s="9" t="s">
        <v>14</v>
      </c>
      <c r="G47" s="10">
        <v>0</v>
      </c>
      <c r="H47" s="11">
        <v>0</v>
      </c>
      <c r="I47" s="10">
        <v>4760.64</v>
      </c>
    </row>
    <row r="48" spans="1:9">
      <c r="A48" s="8" t="s">
        <v>53</v>
      </c>
      <c r="B48" s="11">
        <v>-20</v>
      </c>
      <c r="C48" s="10">
        <v>18544.12</v>
      </c>
      <c r="D48" s="11">
        <v>-70</v>
      </c>
      <c r="E48" s="10">
        <v>-10329.9</v>
      </c>
      <c r="F48" s="9" t="s">
        <v>14</v>
      </c>
      <c r="G48" s="10">
        <v>0</v>
      </c>
      <c r="H48" s="11">
        <v>-90</v>
      </c>
      <c r="I48" s="10">
        <v>5941.32</v>
      </c>
    </row>
    <row r="49" spans="1:9">
      <c r="A49" s="8" t="s">
        <v>54</v>
      </c>
      <c r="B49" s="11">
        <v>75</v>
      </c>
      <c r="C49" s="10">
        <v>29713.4</v>
      </c>
      <c r="D49" s="11">
        <v>-5</v>
      </c>
      <c r="E49" s="10">
        <v>-1152.65</v>
      </c>
      <c r="F49" s="9" t="s">
        <v>14</v>
      </c>
      <c r="G49" s="10">
        <v>0</v>
      </c>
      <c r="H49" s="11">
        <v>70</v>
      </c>
      <c r="I49" s="10">
        <v>28432.65</v>
      </c>
    </row>
    <row r="50" spans="1:9">
      <c r="A50" s="8" t="s">
        <v>55</v>
      </c>
      <c r="B50" s="11">
        <v>68</v>
      </c>
      <c r="C50" s="10">
        <v>19149.41</v>
      </c>
      <c r="D50" s="11">
        <v>-1</v>
      </c>
      <c r="E50" s="10">
        <v>-242.74</v>
      </c>
      <c r="F50" s="9" t="s">
        <v>14</v>
      </c>
      <c r="G50" s="10">
        <v>0</v>
      </c>
      <c r="H50" s="11">
        <v>67</v>
      </c>
      <c r="I50" s="10">
        <v>18879.7</v>
      </c>
    </row>
    <row r="51" spans="1:9">
      <c r="A51" s="8" t="s">
        <v>56</v>
      </c>
      <c r="B51" s="11">
        <v>30</v>
      </c>
      <c r="C51" s="10">
        <v>1773.6</v>
      </c>
      <c r="D51" s="9" t="s">
        <v>14</v>
      </c>
      <c r="E51" s="10">
        <v>0</v>
      </c>
      <c r="F51" s="9" t="s">
        <v>14</v>
      </c>
      <c r="G51" s="10">
        <v>0</v>
      </c>
      <c r="H51" s="11">
        <v>30</v>
      </c>
      <c r="I51" s="10">
        <v>1773.6</v>
      </c>
    </row>
    <row r="52" spans="1:9">
      <c r="A52" s="8" t="s">
        <v>57</v>
      </c>
      <c r="B52" s="11">
        <v>158</v>
      </c>
      <c r="C52" s="10">
        <v>5673.64</v>
      </c>
      <c r="D52" s="11">
        <v>-130</v>
      </c>
      <c r="E52" s="10">
        <v>-23708.1</v>
      </c>
      <c r="F52" s="11">
        <v>48</v>
      </c>
      <c r="G52" s="10">
        <v>9726.24</v>
      </c>
      <c r="H52" s="11">
        <v>-20</v>
      </c>
      <c r="I52" s="10">
        <v>-30394.5</v>
      </c>
    </row>
    <row r="53" spans="1:9">
      <c r="A53" s="8" t="s">
        <v>58</v>
      </c>
      <c r="B53" s="11">
        <v>112</v>
      </c>
      <c r="C53" s="10">
        <v>6965.84</v>
      </c>
      <c r="D53" s="9" t="s">
        <v>14</v>
      </c>
      <c r="E53" s="10">
        <v>0</v>
      </c>
      <c r="F53" s="9" t="s">
        <v>14</v>
      </c>
      <c r="G53" s="10">
        <v>0</v>
      </c>
      <c r="H53" s="11">
        <v>112</v>
      </c>
      <c r="I53" s="10">
        <v>6965.84</v>
      </c>
    </row>
    <row r="54" spans="1:9">
      <c r="A54" s="8" t="s">
        <v>59</v>
      </c>
      <c r="B54" s="11">
        <v>230</v>
      </c>
      <c r="C54" s="10">
        <v>57389.6</v>
      </c>
      <c r="D54" s="11">
        <v>-9</v>
      </c>
      <c r="E54" s="10">
        <v>-2021.13</v>
      </c>
      <c r="F54" s="11">
        <v>15</v>
      </c>
      <c r="G54" s="10">
        <v>5489.44</v>
      </c>
      <c r="H54" s="11">
        <v>206</v>
      </c>
      <c r="I54" s="10">
        <v>51401.12</v>
      </c>
    </row>
    <row r="55" spans="1:9">
      <c r="A55" s="8" t="s">
        <v>60</v>
      </c>
      <c r="B55" s="11">
        <v>456</v>
      </c>
      <c r="C55" s="10">
        <v>45425.52</v>
      </c>
      <c r="D55" s="11">
        <v>200</v>
      </c>
      <c r="E55" s="10">
        <v>16224</v>
      </c>
      <c r="F55" s="11">
        <v>140</v>
      </c>
      <c r="G55" s="10">
        <v>12618.2</v>
      </c>
      <c r="H55" s="11">
        <v>516</v>
      </c>
      <c r="I55" s="10">
        <v>50833.32</v>
      </c>
    </row>
    <row r="56" spans="1:9">
      <c r="A56" s="8" t="s">
        <v>61</v>
      </c>
      <c r="B56" s="11">
        <v>0</v>
      </c>
      <c r="C56" s="10">
        <v>82.6</v>
      </c>
      <c r="D56" s="9" t="s">
        <v>14</v>
      </c>
      <c r="E56" s="10">
        <v>0</v>
      </c>
      <c r="F56" s="9" t="s">
        <v>14</v>
      </c>
      <c r="G56" s="10">
        <v>0</v>
      </c>
      <c r="H56" s="11">
        <v>0</v>
      </c>
      <c r="I56" s="10">
        <v>82.6</v>
      </c>
    </row>
    <row r="57" spans="1:9">
      <c r="A57" s="8" t="s">
        <v>62</v>
      </c>
      <c r="B57" s="11">
        <v>0</v>
      </c>
      <c r="C57" s="10">
        <v>99.28</v>
      </c>
      <c r="D57" s="9" t="s">
        <v>14</v>
      </c>
      <c r="E57" s="10">
        <v>0</v>
      </c>
      <c r="F57" s="9" t="s">
        <v>14</v>
      </c>
      <c r="G57" s="10">
        <v>0</v>
      </c>
      <c r="H57" s="11">
        <v>0</v>
      </c>
      <c r="I57" s="10">
        <v>99.28</v>
      </c>
    </row>
    <row r="58" spans="1:9">
      <c r="A58" s="8" t="s">
        <v>63</v>
      </c>
      <c r="B58" s="11">
        <v>70</v>
      </c>
      <c r="C58" s="10">
        <v>3000</v>
      </c>
      <c r="D58" s="9" t="s">
        <v>14</v>
      </c>
      <c r="E58" s="10">
        <v>0</v>
      </c>
      <c r="F58" s="9" t="s">
        <v>14</v>
      </c>
      <c r="G58" s="10">
        <v>0</v>
      </c>
      <c r="H58" s="11">
        <v>70</v>
      </c>
      <c r="I58" s="10">
        <v>3000</v>
      </c>
    </row>
    <row r="59" spans="1:9">
      <c r="A59" s="8" t="s">
        <v>64</v>
      </c>
      <c r="B59" s="11">
        <v>50</v>
      </c>
      <c r="C59" s="10">
        <v>3277.8</v>
      </c>
      <c r="D59" s="9" t="s">
        <v>14</v>
      </c>
      <c r="E59" s="10">
        <v>0</v>
      </c>
      <c r="F59" s="9" t="s">
        <v>14</v>
      </c>
      <c r="G59" s="10">
        <v>0</v>
      </c>
      <c r="H59" s="11">
        <v>50</v>
      </c>
      <c r="I59" s="10">
        <v>3277.8</v>
      </c>
    </row>
    <row r="60" spans="1:9">
      <c r="A60" s="8" t="s">
        <v>65</v>
      </c>
      <c r="B60" s="11">
        <v>54</v>
      </c>
      <c r="C60" s="10">
        <v>12361.44</v>
      </c>
      <c r="D60" s="11">
        <v>84</v>
      </c>
      <c r="E60" s="10">
        <v>11124.96</v>
      </c>
      <c r="F60" s="11">
        <v>94</v>
      </c>
      <c r="G60" s="10">
        <v>13833.04</v>
      </c>
      <c r="H60" s="11">
        <v>44</v>
      </c>
      <c r="I60" s="10">
        <v>10889.84</v>
      </c>
    </row>
    <row r="61" spans="1:9">
      <c r="A61" s="8" t="s">
        <v>66</v>
      </c>
      <c r="B61" s="11">
        <v>105</v>
      </c>
      <c r="C61" s="10">
        <v>28645.5</v>
      </c>
      <c r="D61" s="11">
        <v>-74</v>
      </c>
      <c r="E61" s="10">
        <v>-16882.36</v>
      </c>
      <c r="F61" s="11">
        <v>-29</v>
      </c>
      <c r="G61" s="10">
        <v>6084</v>
      </c>
      <c r="H61" s="11">
        <v>60</v>
      </c>
      <c r="I61" s="10">
        <v>17238</v>
      </c>
    </row>
    <row r="62" spans="1:9">
      <c r="A62" s="8" t="s">
        <v>67</v>
      </c>
      <c r="B62" s="11">
        <v>29</v>
      </c>
      <c r="C62" s="10">
        <v>7769.29</v>
      </c>
      <c r="D62" s="9" t="s">
        <v>14</v>
      </c>
      <c r="E62" s="10">
        <v>0</v>
      </c>
      <c r="F62" s="9" t="s">
        <v>14</v>
      </c>
      <c r="G62" s="10">
        <v>0</v>
      </c>
      <c r="H62" s="11">
        <v>29</v>
      </c>
      <c r="I62" s="10">
        <v>7769.29</v>
      </c>
    </row>
    <row r="63" spans="1:9">
      <c r="A63" s="8" t="s">
        <v>68</v>
      </c>
      <c r="B63" s="11">
        <v>78</v>
      </c>
      <c r="C63" s="10">
        <v>13182.96</v>
      </c>
      <c r="D63" s="11">
        <v>-4</v>
      </c>
      <c r="E63" s="10">
        <v>-356.84</v>
      </c>
      <c r="F63" s="11">
        <v>93</v>
      </c>
      <c r="G63" s="10">
        <v>9713.76</v>
      </c>
      <c r="H63" s="11">
        <v>-19</v>
      </c>
      <c r="I63" s="10">
        <v>3568.32</v>
      </c>
    </row>
    <row r="64" spans="1:9">
      <c r="A64" s="8" t="s">
        <v>69</v>
      </c>
      <c r="B64" s="11">
        <v>162</v>
      </c>
      <c r="C64" s="10">
        <v>31235.2</v>
      </c>
      <c r="D64" s="11">
        <v>250</v>
      </c>
      <c r="E64" s="10">
        <v>25015.68</v>
      </c>
      <c r="F64" s="11">
        <v>375</v>
      </c>
      <c r="G64" s="10">
        <v>54352</v>
      </c>
      <c r="H64" s="11">
        <v>37</v>
      </c>
      <c r="I64" s="10">
        <v>14035.2</v>
      </c>
    </row>
    <row r="65" spans="1:9">
      <c r="A65" s="12"/>
      <c r="B65" s="13"/>
      <c r="C65" s="14"/>
      <c r="D65" s="13"/>
      <c r="E65" s="14"/>
      <c r="F65" s="13"/>
      <c r="G65" s="14"/>
      <c r="H65" s="13"/>
      <c r="I65" s="14"/>
    </row>
    <row r="66" spans="1:9">
      <c r="A66" s="15" t="s">
        <v>70</v>
      </c>
      <c r="B66" s="15"/>
      <c r="C66" s="15"/>
      <c r="D66" s="15"/>
      <c r="E66" s="15"/>
      <c r="F66" s="15"/>
      <c r="G66" s="15"/>
      <c r="H66" s="15"/>
      <c r="I66" s="15"/>
    </row>
  </sheetData>
  <mergeCells count="7">
    <mergeCell ref="A1:I1"/>
    <mergeCell ref="A2:I2"/>
    <mergeCell ref="A3:I3"/>
    <mergeCell ref="A4:I4"/>
    <mergeCell ref="A7:I7"/>
    <mergeCell ref="A8:I8"/>
    <mergeCell ref="A66:I66"/>
  </mergeCell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.64285714285714" defaultRowHeight="1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.64285714285714" defaultRowHeight="1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MARG ERP 9+ Excel Report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YKP3</dc:creator>
  <cp:lastModifiedBy>iPhone</cp:lastModifiedBy>
  <dcterms:created xsi:type="dcterms:W3CDTF">2026-08-03T07:06:02Z</dcterms:created>
  <dcterms:modified xsi:type="dcterms:W3CDTF">2026-08-04T12:11:06Z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4b6268a52d624e6d90a499ca75b502fd</vt:lpwstr>
  </property>
  <property fmtid="{D5CDD505-2E9C-101B-9397-08002B2CF9AE}" pid="3" name="KSOProductBuildVer">
    <vt:lpwstr>3081-26.7.1</vt:lpwstr>
  </property>
</Properties>
</file>