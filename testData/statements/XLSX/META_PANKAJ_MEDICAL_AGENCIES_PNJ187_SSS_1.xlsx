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2"/>
  <workbookPr defaultThemeVersion="124226"/>
  <bookViews>
    <workbookView xWindow="240" yWindow="45" windowWidth="20115" windowHeight="9795" activeTab="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<sst xmlns="http://schemas.openxmlformats.org/spreadsheetml/2006/main" uniqueCount="32" count="32">
  <si>
    <t>Pankaj Medical Agencies</t>
  </si>
  <si>
    <t>Amritsar</t>
  </si>
  <si>
    <t>upto</t>
  </si>
  <si>
    <t>Qty</t>
  </si>
  <si>
    <t>Sr.</t>
  </si>
  <si>
    <t>Item Name</t>
  </si>
  <si>
    <t>Pack</t>
  </si>
  <si>
    <t>Batch</t>
  </si>
  <si>
    <t>Expiry</t>
  </si>
  <si>
    <t>Rate</t>
  </si>
  <si>
    <t xml:space="preserve">     Opening</t>
  </si>
  <si>
    <t xml:space="preserve">    Recieved</t>
  </si>
  <si>
    <t xml:space="preserve">      Issued</t>
  </si>
  <si>
    <t xml:space="preserve">     Balance</t>
  </si>
  <si>
    <t xml:space="preserve">       </t>
  </si>
  <si>
    <t>&gt;&gt;&gt;*LINUX LABORATORIES PVT. LT</t>
  </si>
  <si>
    <t xml:space="preserve">            </t>
  </si>
  <si>
    <t xml:space="preserve">                    </t>
  </si>
  <si>
    <t xml:space="preserve">     </t>
  </si>
  <si>
    <t>&gt;&gt;&gt;*--------------------------</t>
  </si>
  <si>
    <t xml:space="preserve">METIS G 1                     </t>
  </si>
  <si>
    <t xml:space="preserve">METIS G2                      </t>
  </si>
  <si>
    <t xml:space="preserve">RDL GOLD 10                   </t>
  </si>
  <si>
    <t xml:space="preserve">REXITE FORTE CAPS             </t>
  </si>
  <si>
    <t xml:space="preserve">TORDURA 10                    </t>
  </si>
  <si>
    <t xml:space="preserve">TORDURA 5                     </t>
  </si>
  <si>
    <t xml:space="preserve">TORDURA PLUS 10               </t>
  </si>
  <si>
    <t xml:space="preserve">&gt;&gt;&gt;*Company Total :           </t>
  </si>
  <si>
    <t>TRIEXER 2</t>
  </si>
  <si>
    <t>VYSOV M 50/500</t>
  </si>
  <si>
    <t>VYSOV M 50/1000</t>
  </si>
  <si>
    <t>31/12/2025</t>
  </si>
</sst>
</file>

<file path=xl/styles.xml><?xml version="1.0" encoding="utf-8"?>
<styleSheet xmlns="http://schemas.openxmlformats.org/spreadsheetml/2006/main">
  <numFmts count="2">
    <numFmt numFmtId="0" formatCode="General"/>
    <numFmt numFmtId="15" formatCode="d-mmm-yy"/>
  </numFmts>
  <fonts count="4">
    <font>
      <name val="Calibri"/>
      <sz val="11"/>
    </font>
    <font>
      <name val="Calibri"/>
      <b/>
      <sz val="16"/>
      <color rgb="FF000000"/>
    </font>
    <font>
      <name val="Calibri"/>
      <sz val="11"/>
      <color rgb="FF000000"/>
    </font>
    <font>
      <name val="Calibri"/>
      <b/>
      <sz val="11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969696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bottom"/>
    </xf>
    <xf numFmtId="0" fontId="2" fillId="0" borderId="0" xfId="0" applyAlignment="1">
      <alignment horizontal="center" vertical="bottom"/>
    </xf>
    <xf numFmtId="0" fontId="2" fillId="0" borderId="0" xfId="0" applyAlignment="1">
      <alignment vertical="bottom"/>
    </xf>
    <xf numFmtId="15" fontId="2" fillId="0" borderId="0" xfId="0" applyNumberFormat="1" applyAlignment="1">
      <alignment horizontal="center" vertical="bottom"/>
    </xf>
    <xf numFmtId="0" fontId="2" fillId="2" borderId="0" xfId="0" applyFill="1" applyAlignment="1">
      <alignment vertical="bottom"/>
    </xf>
    <xf numFmtId="0" fontId="3" fillId="3" borderId="0" xfId="0" applyFont="1" applyFill="1" applyAlignment="1">
      <alignment vertical="bottom"/>
    </xf>
    <xf numFmtId="0" fontId="3" fillId="0" borderId="0" xfId="0" applyFont="1" applyAlignment="1">
      <alignment vertical="bottom"/>
    </xf>
    <xf numFmtId="0" fontId="2" fillId="0" borderId="1" xfId="0" applyBorder="1" applyAlignment="1">
      <alignment vertical="bottom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P19"/>
  <sheetViews>
    <sheetView tabSelected="1" workbookViewId="0" zoomScale="75">
      <selection activeCell="D35" sqref="D35"/>
    </sheetView>
  </sheetViews>
  <sheetFormatPr defaultRowHeight="15.0" defaultColWidth="10"/>
  <cols>
    <col min="1" max="1" customWidth="1" bestFit="1" width="5.140625" style="0"/>
    <col min="2" max="2" customWidth="1" bestFit="1" width="31.425781" style="0"/>
    <col min="3" max="3" customWidth="1" bestFit="1" width="6.140625" style="0"/>
    <col min="4" max="4" customWidth="1" bestFit="1" width="32.570312" style="0"/>
    <col min="5" max="5" customWidth="1" width="10.7109375" style="0"/>
    <col min="6" max="6" customWidth="1" bestFit="1" width="6.140625" style="0"/>
    <col min="7" max="7" customWidth="1" bestFit="1" width="10.7109375" style="0"/>
    <col min="8" max="8" customWidth="1" bestFit="1" width="10.855469" style="0"/>
    <col min="9" max="9" customWidth="1" bestFit="1" width="9.285156" style="0"/>
    <col min="10" max="10" customWidth="1" bestFit="1" width="10.0" style="0"/>
    <col min="11" max="11" customWidth="1" bestFit="1" width="9.0" style="0"/>
    <col min="12" max="12" customWidth="1" bestFit="1" width="6.4257812" style="0"/>
  </cols>
  <sheetData>
    <row r="1" spans="8:8" ht="21.0">
      <c r="D1" s="1" t="s">
        <v>0</v>
      </c>
    </row>
    <row r="2" spans="8:8">
      <c r="D2" s="2" t="s">
        <v>1</v>
      </c>
    </row>
    <row r="3" spans="8:8" ht="15.05">
      <c r="A3" s="3" t="s">
        <v>2</v>
      </c>
      <c r="B3" s="4">
        <v>46234.0</v>
      </c>
      <c r="C3" s="3"/>
    </row>
    <row r="4" spans="8:8">
      <c r="A4" s="5"/>
      <c r="B4" s="5"/>
      <c r="C4" s="5"/>
      <c r="D4" s="5"/>
      <c r="E4" s="5"/>
      <c r="F4" s="5"/>
      <c r="G4" s="5" t="s">
        <v>3</v>
      </c>
      <c r="H4" s="5"/>
      <c r="I4" s="5"/>
      <c r="J4" s="5"/>
    </row>
    <row r="5" spans="8:8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7"/>
      <c r="L5" s="7"/>
      <c r="M5" s="7"/>
      <c r="N5" s="7"/>
    </row>
    <row r="7" spans="8:8">
      <c r="A7" t="s">
        <v>14</v>
      </c>
      <c r="B7" t="s">
        <v>15</v>
      </c>
      <c r="C7" t="s">
        <v>16</v>
      </c>
      <c r="D7" t="s">
        <v>17</v>
      </c>
      <c r="E7" t="s">
        <v>18</v>
      </c>
      <c r="F7" t="s">
        <v>16</v>
      </c>
      <c r="G7" t="s">
        <v>16</v>
      </c>
      <c r="H7" t="s">
        <v>16</v>
      </c>
      <c r="I7" t="s">
        <v>16</v>
      </c>
    </row>
    <row r="8" spans="8:8">
      <c r="A8" t="s">
        <v>14</v>
      </c>
      <c r="B8" t="s">
        <v>19</v>
      </c>
      <c r="C8" t="s">
        <v>16</v>
      </c>
      <c r="D8" t="s">
        <v>17</v>
      </c>
      <c r="E8" t="s">
        <v>18</v>
      </c>
      <c r="F8" t="s">
        <v>16</v>
      </c>
      <c r="G8" t="s">
        <v>16</v>
      </c>
      <c r="H8" t="s">
        <v>16</v>
      </c>
      <c r="I8" t="s">
        <v>16</v>
      </c>
    </row>
    <row r="9" spans="8:8">
      <c r="A9">
        <v>1.0</v>
      </c>
      <c r="B9" t="s">
        <v>20</v>
      </c>
      <c r="C9">
        <v>10.0</v>
      </c>
      <c r="D9" t="s">
        <v>17</v>
      </c>
      <c r="E9" t="s">
        <v>18</v>
      </c>
      <c r="F9">
        <v>0.0</v>
      </c>
      <c r="G9">
        <v>10.0</v>
      </c>
      <c r="H9">
        <v>0.0</v>
      </c>
      <c r="I9">
        <v>0.0</v>
      </c>
      <c r="J9">
        <f t="shared" si="0" ref="J9:J18">SUM((G9+H9)-I9)</f>
        <v>10.0</v>
      </c>
    </row>
    <row r="10" spans="8:8">
      <c r="A10">
        <v>2.0</v>
      </c>
      <c r="B10" t="s">
        <v>21</v>
      </c>
      <c r="C10">
        <v>10.0</v>
      </c>
      <c r="D10" t="s">
        <v>17</v>
      </c>
      <c r="E10" t="s">
        <v>18</v>
      </c>
      <c r="F10">
        <v>0.0</v>
      </c>
      <c r="G10">
        <v>10.0</v>
      </c>
      <c r="H10">
        <v>0.0</v>
      </c>
      <c r="I10">
        <v>0.0</v>
      </c>
      <c r="J10">
        <f t="shared" si="0"/>
        <v>10.0</v>
      </c>
    </row>
    <row r="11" spans="8:8">
      <c r="A11">
        <v>3.0</v>
      </c>
      <c r="B11" t="s">
        <v>22</v>
      </c>
      <c r="C11">
        <v>10.0</v>
      </c>
      <c r="D11" t="s">
        <v>17</v>
      </c>
      <c r="E11" t="s">
        <v>18</v>
      </c>
      <c r="F11">
        <v>0.0</v>
      </c>
      <c r="G11">
        <v>20.0</v>
      </c>
      <c r="H11">
        <v>0.0</v>
      </c>
      <c r="I11">
        <v>0.0</v>
      </c>
      <c r="J11">
        <f t="shared" si="0"/>
        <v>20.0</v>
      </c>
    </row>
    <row r="12" spans="8:8">
      <c r="A12">
        <v>4.0</v>
      </c>
      <c r="B12" t="s">
        <v>23</v>
      </c>
      <c r="C12">
        <v>10.0</v>
      </c>
      <c r="D12" t="s">
        <v>17</v>
      </c>
      <c r="E12" t="s">
        <v>18</v>
      </c>
      <c r="F12">
        <v>0.0</v>
      </c>
      <c r="G12">
        <v>10.0</v>
      </c>
      <c r="H12">
        <v>0.0</v>
      </c>
      <c r="I12">
        <v>0.0</v>
      </c>
      <c r="J12">
        <f t="shared" si="0"/>
        <v>10.0</v>
      </c>
    </row>
    <row r="13" spans="8:8">
      <c r="A13">
        <v>5.0</v>
      </c>
      <c r="B13" t="s">
        <v>24</v>
      </c>
      <c r="C13">
        <v>10.0</v>
      </c>
      <c r="D13" t="s">
        <v>17</v>
      </c>
      <c r="E13" t="s">
        <v>18</v>
      </c>
      <c r="F13">
        <v>0.0</v>
      </c>
      <c r="G13">
        <v>10.0</v>
      </c>
      <c r="H13">
        <v>0.0</v>
      </c>
      <c r="I13">
        <v>0.0</v>
      </c>
      <c r="J13">
        <f t="shared" si="0"/>
        <v>10.0</v>
      </c>
    </row>
    <row r="14" spans="8:8">
      <c r="A14">
        <v>6.0</v>
      </c>
      <c r="B14" t="s">
        <v>25</v>
      </c>
      <c r="C14">
        <v>10.0</v>
      </c>
      <c r="D14" t="s">
        <v>17</v>
      </c>
      <c r="E14" t="s">
        <v>18</v>
      </c>
      <c r="F14">
        <v>0.0</v>
      </c>
      <c r="G14">
        <v>20.0</v>
      </c>
      <c r="H14">
        <v>0.0</v>
      </c>
      <c r="I14">
        <v>0.0</v>
      </c>
      <c r="J14">
        <f t="shared" si="0"/>
        <v>20.0</v>
      </c>
    </row>
    <row r="15" spans="8:8">
      <c r="A15">
        <v>7.0</v>
      </c>
      <c r="B15" t="s">
        <v>26</v>
      </c>
      <c r="C15">
        <v>10.0</v>
      </c>
      <c r="D15" t="s">
        <v>17</v>
      </c>
      <c r="E15" t="s">
        <v>18</v>
      </c>
      <c r="F15">
        <v>0.0</v>
      </c>
      <c r="G15">
        <v>10.0</v>
      </c>
      <c r="H15">
        <v>0.0</v>
      </c>
      <c r="I15">
        <v>0.0</v>
      </c>
      <c r="J15">
        <f t="shared" si="0"/>
        <v>10.0</v>
      </c>
    </row>
    <row r="16" spans="8:8" ht="15.05">
      <c r="A16">
        <v>8.0</v>
      </c>
      <c r="B16" t="s">
        <v>28</v>
      </c>
      <c r="C16">
        <v>10.0</v>
      </c>
      <c r="F16">
        <v>0.0</v>
      </c>
      <c r="G16">
        <v>0.0</v>
      </c>
      <c r="H16">
        <v>0.0</v>
      </c>
      <c r="I16">
        <v>0.0</v>
      </c>
      <c r="J16">
        <f t="shared" si="0"/>
        <v>0.0</v>
      </c>
    </row>
    <row r="17" spans="8:8" ht="15.05">
      <c r="A17">
        <v>9.0</v>
      </c>
      <c r="B17" t="s">
        <v>29</v>
      </c>
      <c r="C17">
        <v>10.0</v>
      </c>
      <c r="F17">
        <v>0.0</v>
      </c>
      <c r="G17">
        <v>0.0</v>
      </c>
      <c r="H17">
        <v>0.0</v>
      </c>
      <c r="I17">
        <v>0.0</v>
      </c>
      <c r="J17">
        <f t="shared" si="0"/>
        <v>0.0</v>
      </c>
    </row>
    <row r="18" spans="8:8" ht="15.05">
      <c r="A18">
        <v>10.0</v>
      </c>
      <c r="B18" t="s">
        <v>30</v>
      </c>
      <c r="C18">
        <v>10.0</v>
      </c>
      <c r="F18">
        <v>0.0</v>
      </c>
      <c r="G18">
        <v>0.0</v>
      </c>
      <c r="H18">
        <v>0.0</v>
      </c>
      <c r="I18">
        <v>0.0</v>
      </c>
      <c r="J18">
        <f t="shared" si="0"/>
        <v>0.0</v>
      </c>
    </row>
    <row r="19" spans="8:8" s="8" ht="15.0" customFormat="1">
      <c r="A19" s="8" t="s">
        <v>14</v>
      </c>
      <c r="B19" s="8" t="s">
        <v>27</v>
      </c>
      <c r="C19" s="8" t="s">
        <v>16</v>
      </c>
      <c r="D19" s="8" t="s">
        <v>17</v>
      </c>
      <c r="E19" s="8" t="s">
        <v>18</v>
      </c>
      <c r="F19" s="8" t="s">
        <v>16</v>
      </c>
      <c r="G19" s="8">
        <f>SUM(G9:G18)</f>
        <v>90.0</v>
      </c>
      <c r="H19" s="8">
        <v>0.0</v>
      </c>
      <c r="I19" s="8">
        <v>0.0</v>
      </c>
      <c r="J19" s="8">
        <f>SUM(J9:J18)</f>
        <v>90.0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C1"/>
  <sheetViews>
    <sheetView workbookViewId="0">
      <selection activeCell="A1" sqref="A1"/>
    </sheetView>
  </sheetViews>
  <sheetFormatPr defaultRowHeight="15.0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C1"/>
  <sheetViews>
    <sheetView workbookViewId="0">
      <selection activeCell="A1" sqref="A1"/>
    </sheetView>
  </sheetViews>
  <sheetFormatPr defaultRowHeight="15.0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2025-12-03T00:53:47Z</dcterms:created>
  <dcterms:modified xsi:type="dcterms:W3CDTF">2026-08-01T07:04:32Z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4712ea4e83d24b558de4935dc2c44286</vt:lpwstr>
  </property>
</Properties>
</file>