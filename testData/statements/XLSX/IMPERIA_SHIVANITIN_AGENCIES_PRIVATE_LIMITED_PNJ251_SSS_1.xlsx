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/>
  </bookViews>
  <sheets>
    <sheet name="Stock and Sale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J22" i="1"/>
  <c r="I22" i="1"/>
  <c r="H22" i="1"/>
</calcChain>
</file>

<file path=xl/sharedStrings.xml><?xml version="1.0" encoding="utf-8"?>
<sst xmlns="http://schemas.openxmlformats.org/spreadsheetml/2006/main" count="62" uniqueCount="50">
  <si>
    <t>00</t>
  </si>
  <si>
    <t>BRI0524</t>
  </si>
  <si>
    <t>BRITAM 100 TAB 10S</t>
  </si>
  <si>
    <t>10</t>
  </si>
  <si>
    <t>BRI0978</t>
  </si>
  <si>
    <t>BRITAM 50MG TAB 15S</t>
  </si>
  <si>
    <t>15</t>
  </si>
  <si>
    <t>COG0097</t>
  </si>
  <si>
    <t>COGNIVEL D TAB 10S</t>
  </si>
  <si>
    <t>COG0043</t>
  </si>
  <si>
    <t>COGNIVEL TAB</t>
  </si>
  <si>
    <t>IGN0024</t>
  </si>
  <si>
    <t>IGNICAR DS PLUS SYP</t>
  </si>
  <si>
    <t>1</t>
  </si>
  <si>
    <t>IGN0008</t>
  </si>
  <si>
    <t>IGNICAR MANGO FLAV SYRUP 200ML</t>
  </si>
  <si>
    <t>IGN0009</t>
  </si>
  <si>
    <t>IGNICAR TAB</t>
  </si>
  <si>
    <t>PAT0193</t>
  </si>
  <si>
    <t>PATINEX 12.5MG PR TAB 10S</t>
  </si>
  <si>
    <t>PAT0229</t>
  </si>
  <si>
    <t>PATINEX PLUS TAB 10S</t>
  </si>
  <si>
    <t>REX0301</t>
  </si>
  <si>
    <t>RE-XITE PFS 1500MCG INJ 1ML</t>
  </si>
  <si>
    <t>REX0082</t>
  </si>
  <si>
    <t>RE-XITE PLUS CAP</t>
  </si>
  <si>
    <t>REX0121</t>
  </si>
  <si>
    <t>RE-XITE PLUS INJ 2ML</t>
  </si>
  <si>
    <t>VOR0112</t>
  </si>
  <si>
    <t>VORTICA-10 TAB 10S</t>
  </si>
  <si>
    <t>ZOL0390</t>
  </si>
  <si>
    <t>ZOLCALM-10MG TAB 15S</t>
  </si>
  <si>
    <t>ZOL0391</t>
  </si>
  <si>
    <t>ZOLCALM-5MG TAB 15S</t>
  </si>
  <si>
    <t>Total Value (00)</t>
  </si>
  <si>
    <t>Total</t>
  </si>
  <si>
    <t>SHIVANITIN AGENCIES PVT. LTD.</t>
  </si>
  <si>
    <t>57,TILAK ROAD, OPP. MAHAVIR JAIN KANYA PATHSHALA DEHRADUN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</si>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</sst>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sqref="A1:J1"/>
    </sheetView>
  </sheetViews>
  <sheetFormatPr defaultRowHeight="10.7" customHeight="1" x14ac:dyDescent="0.15"/>
  <cols>
    <col min="1" max="1" width="8.7109375" style="1" customWidth="1"/>
    <col min="2" max="2" width="25" style="1" bestFit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14" t="s">
        <v>36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25" customHeight="1" x14ac:dyDescent="0.15">
      <c r="A2" s="15" t="s">
        <v>37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15">
      <c r="A3" s="16" t="s">
        <v>38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 x14ac:dyDescent="0.15">
      <c r="A4" s="17" t="s">
        <v>39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22.5" customHeight="1" x14ac:dyDescent="0.15">
      <c r="A5" s="2" t="s">
        <v>40</v>
      </c>
      <c r="B5" s="2" t="s">
        <v>41</v>
      </c>
      <c r="C5" s="2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4" t="s">
        <v>47</v>
      </c>
      <c r="I5" s="4" t="s">
        <v>48</v>
      </c>
      <c r="J5" s="4" t="s">
        <v>49</v>
      </c>
    </row>
    <row r="6" spans="1:10" ht="10.7" customHeight="1" x14ac:dyDescent="0.15">
      <c r="A6" s="18" t="s">
        <v>0</v>
      </c>
      <c r="B6" s="18"/>
      <c r="C6" s="18"/>
      <c r="D6" s="19"/>
      <c r="E6" s="19"/>
      <c r="F6" s="19"/>
      <c r="G6" s="19"/>
      <c r="H6" s="20"/>
      <c r="I6" s="20"/>
      <c r="J6" s="20"/>
    </row>
    <row r="7" spans="1:10" ht="10.7" customHeight="1" x14ac:dyDescent="0.15">
      <c r="A7" s="5" t="s">
        <v>1</v>
      </c>
      <c r="B7" s="5" t="s">
        <v>2</v>
      </c>
      <c r="C7" s="5" t="s">
        <v>3</v>
      </c>
      <c r="D7" s="6">
        <v>30</v>
      </c>
      <c r="E7" s="6">
        <v>20</v>
      </c>
      <c r="F7" s="6">
        <v>20</v>
      </c>
      <c r="G7" s="6">
        <v>30</v>
      </c>
      <c r="H7" s="7">
        <v>5300</v>
      </c>
      <c r="I7" s="7">
        <v>5653.25</v>
      </c>
      <c r="J7" s="7">
        <v>7950</v>
      </c>
    </row>
    <row r="8" spans="1:10" ht="10.7" customHeight="1" x14ac:dyDescent="0.15">
      <c r="A8" s="5" t="s">
        <v>4</v>
      </c>
      <c r="B8" s="5" t="s">
        <v>5</v>
      </c>
      <c r="C8" s="5" t="s">
        <v>6</v>
      </c>
      <c r="D8" s="6">
        <v>0</v>
      </c>
      <c r="E8" s="6">
        <v>20</v>
      </c>
      <c r="F8" s="6">
        <v>0</v>
      </c>
      <c r="G8" s="6">
        <v>20</v>
      </c>
      <c r="H8" s="7">
        <v>3745.4</v>
      </c>
      <c r="I8" s="7">
        <v>0</v>
      </c>
      <c r="J8" s="7">
        <v>3745.4</v>
      </c>
    </row>
    <row r="9" spans="1:10" ht="10.7" customHeight="1" x14ac:dyDescent="0.15">
      <c r="A9" s="5" t="s">
        <v>7</v>
      </c>
      <c r="B9" s="5" t="s">
        <v>8</v>
      </c>
      <c r="C9" s="5" t="s">
        <v>3</v>
      </c>
      <c r="D9" s="6">
        <v>8</v>
      </c>
      <c r="E9" s="6">
        <v>0</v>
      </c>
      <c r="F9" s="6">
        <v>0</v>
      </c>
      <c r="G9" s="6">
        <v>8</v>
      </c>
      <c r="H9" s="7">
        <v>0</v>
      </c>
      <c r="I9" s="7">
        <v>0</v>
      </c>
      <c r="J9" s="7">
        <v>1402.16</v>
      </c>
    </row>
    <row r="10" spans="1:10" ht="10.7" customHeight="1" x14ac:dyDescent="0.15">
      <c r="A10" s="5" t="s">
        <v>9</v>
      </c>
      <c r="B10" s="5" t="s">
        <v>10</v>
      </c>
      <c r="C10" s="5" t="s">
        <v>3</v>
      </c>
      <c r="D10" s="6">
        <v>35</v>
      </c>
      <c r="E10" s="6">
        <v>50</v>
      </c>
      <c r="F10" s="6">
        <v>31</v>
      </c>
      <c r="G10" s="6">
        <v>54</v>
      </c>
      <c r="H10" s="7">
        <v>10890.2</v>
      </c>
      <c r="I10" s="7">
        <v>6667.29</v>
      </c>
      <c r="J10" s="7">
        <v>11697</v>
      </c>
    </row>
    <row r="11" spans="1:10" ht="10.7" customHeight="1" x14ac:dyDescent="0.15">
      <c r="A11" s="5" t="s">
        <v>11</v>
      </c>
      <c r="B11" s="5" t="s">
        <v>12</v>
      </c>
      <c r="C11" s="5" t="s">
        <v>13</v>
      </c>
      <c r="D11" s="6">
        <v>0</v>
      </c>
      <c r="E11" s="6">
        <v>10</v>
      </c>
      <c r="F11" s="6">
        <v>0</v>
      </c>
      <c r="G11" s="6">
        <v>10</v>
      </c>
      <c r="H11" s="7">
        <v>9640.4</v>
      </c>
      <c r="I11" s="7">
        <v>0</v>
      </c>
      <c r="J11" s="7">
        <v>9640.4</v>
      </c>
    </row>
    <row r="12" spans="1:10" ht="10.7" customHeight="1" x14ac:dyDescent="0.15">
      <c r="A12" s="5" t="s">
        <v>14</v>
      </c>
      <c r="B12" s="5" t="s">
        <v>15</v>
      </c>
      <c r="C12" s="5" t="s">
        <v>13</v>
      </c>
      <c r="D12" s="6">
        <v>5</v>
      </c>
      <c r="E12" s="6">
        <v>10</v>
      </c>
      <c r="F12" s="6">
        <v>15</v>
      </c>
      <c r="G12" s="6">
        <v>0</v>
      </c>
      <c r="H12" s="7">
        <v>6565.1</v>
      </c>
      <c r="I12" s="7">
        <v>8520.5499999999993</v>
      </c>
      <c r="J12" s="7">
        <v>0</v>
      </c>
    </row>
    <row r="13" spans="1:10" ht="10.7" customHeight="1" x14ac:dyDescent="0.15">
      <c r="A13" s="5" t="s">
        <v>16</v>
      </c>
      <c r="B13" s="5" t="s">
        <v>17</v>
      </c>
      <c r="C13" s="5" t="s">
        <v>3</v>
      </c>
      <c r="D13" s="6">
        <v>41</v>
      </c>
      <c r="E13" s="6">
        <v>70</v>
      </c>
      <c r="F13" s="6">
        <v>29</v>
      </c>
      <c r="G13" s="6">
        <v>82</v>
      </c>
      <c r="H13" s="7">
        <v>23212.7</v>
      </c>
      <c r="I13" s="7">
        <v>10224.76</v>
      </c>
      <c r="J13" s="7">
        <v>27192.02</v>
      </c>
    </row>
    <row r="14" spans="1:10" ht="10.7" customHeight="1" x14ac:dyDescent="0.15">
      <c r="A14" s="5" t="s">
        <v>18</v>
      </c>
      <c r="B14" s="5" t="s">
        <v>19</v>
      </c>
      <c r="C14" s="5" t="s">
        <v>3</v>
      </c>
      <c r="D14" s="6">
        <v>0</v>
      </c>
      <c r="E14" s="6">
        <v>10</v>
      </c>
      <c r="F14" s="6">
        <v>0</v>
      </c>
      <c r="G14" s="6">
        <v>10</v>
      </c>
      <c r="H14" s="7">
        <v>1215.5</v>
      </c>
      <c r="I14" s="7">
        <v>0</v>
      </c>
      <c r="J14" s="7">
        <v>1215.5</v>
      </c>
    </row>
    <row r="15" spans="1:10" ht="10.7" customHeight="1" x14ac:dyDescent="0.15">
      <c r="A15" s="5" t="s">
        <v>20</v>
      </c>
      <c r="B15" s="5" t="s">
        <v>21</v>
      </c>
      <c r="C15" s="5" t="s">
        <v>3</v>
      </c>
      <c r="D15" s="6">
        <v>10</v>
      </c>
      <c r="E15" s="6">
        <v>0</v>
      </c>
      <c r="F15" s="6">
        <v>0</v>
      </c>
      <c r="G15" s="6">
        <v>10</v>
      </c>
      <c r="H15" s="7">
        <v>0</v>
      </c>
      <c r="I15" s="7">
        <v>0</v>
      </c>
      <c r="J15" s="7">
        <v>1467.4</v>
      </c>
    </row>
    <row r="16" spans="1:10" ht="10.7" customHeight="1" x14ac:dyDescent="0.15">
      <c r="A16" s="5" t="s">
        <v>22</v>
      </c>
      <c r="B16" s="5" t="s">
        <v>23</v>
      </c>
      <c r="C16" s="5" t="s">
        <v>13</v>
      </c>
      <c r="D16" s="6">
        <v>20</v>
      </c>
      <c r="E16" s="6">
        <v>0</v>
      </c>
      <c r="F16" s="6">
        <v>0</v>
      </c>
      <c r="G16" s="6">
        <v>20</v>
      </c>
      <c r="H16" s="7">
        <v>0</v>
      </c>
      <c r="I16" s="7">
        <v>0</v>
      </c>
      <c r="J16" s="7">
        <v>2685.3</v>
      </c>
    </row>
    <row r="17" spans="1:10" ht="10.7" customHeight="1" x14ac:dyDescent="0.15">
      <c r="A17" s="5" t="s">
        <v>24</v>
      </c>
      <c r="B17" s="5" t="s">
        <v>25</v>
      </c>
      <c r="C17" s="5" t="s">
        <v>6</v>
      </c>
      <c r="D17" s="6">
        <v>87</v>
      </c>
      <c r="E17" s="6">
        <v>140</v>
      </c>
      <c r="F17" s="6">
        <v>62</v>
      </c>
      <c r="G17" s="6">
        <v>165</v>
      </c>
      <c r="H17" s="7">
        <v>31439.8</v>
      </c>
      <c r="I17" s="7">
        <v>14905.74</v>
      </c>
      <c r="J17" s="7">
        <v>37054.050000000003</v>
      </c>
    </row>
    <row r="18" spans="1:10" ht="10.7" customHeight="1" x14ac:dyDescent="0.15">
      <c r="A18" s="5" t="s">
        <v>26</v>
      </c>
      <c r="B18" s="5" t="s">
        <v>27</v>
      </c>
      <c r="C18" s="5" t="s">
        <v>13</v>
      </c>
      <c r="D18" s="6">
        <v>19</v>
      </c>
      <c r="E18" s="6">
        <v>10</v>
      </c>
      <c r="F18" s="6">
        <v>16</v>
      </c>
      <c r="G18" s="6">
        <v>13</v>
      </c>
      <c r="H18" s="7">
        <v>811.2</v>
      </c>
      <c r="I18" s="7">
        <v>1399.71</v>
      </c>
      <c r="J18" s="7">
        <v>1054.56</v>
      </c>
    </row>
    <row r="19" spans="1:10" ht="10.7" customHeight="1" x14ac:dyDescent="0.15">
      <c r="A19" s="5" t="s">
        <v>28</v>
      </c>
      <c r="B19" s="5" t="s">
        <v>29</v>
      </c>
      <c r="C19" s="5" t="s">
        <v>3</v>
      </c>
      <c r="D19" s="6">
        <v>10</v>
      </c>
      <c r="E19" s="6">
        <v>0</v>
      </c>
      <c r="F19" s="6">
        <v>0</v>
      </c>
      <c r="G19" s="6">
        <v>10</v>
      </c>
      <c r="H19" s="7">
        <v>0</v>
      </c>
      <c r="I19" s="7">
        <v>0</v>
      </c>
      <c r="J19" s="7">
        <v>1324.4</v>
      </c>
    </row>
    <row r="20" spans="1:10" ht="10.7" customHeight="1" x14ac:dyDescent="0.15">
      <c r="A20" s="5" t="s">
        <v>30</v>
      </c>
      <c r="B20" s="5" t="s">
        <v>31</v>
      </c>
      <c r="C20" s="5" t="s">
        <v>6</v>
      </c>
      <c r="D20" s="6">
        <v>28</v>
      </c>
      <c r="E20" s="6">
        <v>0</v>
      </c>
      <c r="F20" s="6">
        <v>18</v>
      </c>
      <c r="G20" s="6">
        <v>10</v>
      </c>
      <c r="H20" s="7">
        <v>0</v>
      </c>
      <c r="I20" s="7">
        <v>2395.62</v>
      </c>
      <c r="J20" s="7">
        <v>1238.4000000000001</v>
      </c>
    </row>
    <row r="21" spans="1:10" ht="10.7" customHeight="1" x14ac:dyDescent="0.15">
      <c r="A21" s="5" t="s">
        <v>32</v>
      </c>
      <c r="B21" s="5" t="s">
        <v>33</v>
      </c>
      <c r="C21" s="5" t="s">
        <v>6</v>
      </c>
      <c r="D21" s="6">
        <v>69</v>
      </c>
      <c r="E21" s="6">
        <v>70</v>
      </c>
      <c r="F21" s="6">
        <v>58</v>
      </c>
      <c r="G21" s="6">
        <v>81</v>
      </c>
      <c r="H21" s="7">
        <v>6236.75</v>
      </c>
      <c r="I21" s="7">
        <v>5538.29</v>
      </c>
      <c r="J21" s="7">
        <v>7218.06</v>
      </c>
    </row>
    <row r="22" spans="1:10" ht="10.7" customHeight="1" x14ac:dyDescent="0.15">
      <c r="A22" s="8" t="s">
        <v>34</v>
      </c>
      <c r="B22" s="8"/>
      <c r="C22" s="8"/>
      <c r="D22" s="9">
        <f>SUM(J22,I22,H22*-1)</f>
        <v>71132.809999999983</v>
      </c>
      <c r="E22" s="9"/>
      <c r="F22" s="9"/>
      <c r="G22" s="9"/>
      <c r="H22" s="10">
        <f>SUM(H7:H21)</f>
        <v>99057.05</v>
      </c>
      <c r="I22" s="10">
        <f>SUM(I7:I21)</f>
        <v>55305.21</v>
      </c>
      <c r="J22" s="10">
        <f>SUM(J7:J21)</f>
        <v>114884.64999999998</v>
      </c>
    </row>
    <row r="23" spans="1:10" ht="10.7" customHeight="1" x14ac:dyDescent="0.15">
      <c r="A23" s="11"/>
      <c r="B23" s="11" t="s">
        <v>35</v>
      </c>
      <c r="C23" s="11"/>
      <c r="D23" s="12">
        <v>71132.809999999983</v>
      </c>
      <c r="E23" s="12">
        <v>0</v>
      </c>
      <c r="F23" s="12">
        <v>0</v>
      </c>
      <c r="G23" s="12">
        <v>0</v>
      </c>
      <c r="H23" s="13">
        <v>99057.05</v>
      </c>
      <c r="I23" s="13">
        <v>55305.21</v>
      </c>
      <c r="J23" s="13">
        <v>114884.64999999998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dell notebook</cp:lastModifiedBy>
  <dcterms:created xsi:type="dcterms:W3CDTF">2026-08-01T11:47:28Z</dcterms:created>
  <dcterms:modified xsi:type="dcterms:W3CDTF">2026-08-04T11:33:59Z</dcterms:modified>
</cp:coreProperties>
</file>