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9d\AC\Temp\"/>
    </mc:Choice>
  </mc:AlternateContent>
  <xr:revisionPtr revIDLastSave="0" documentId="8_{1849047B-60F4-EE45-B5FB-AD6485E9BCA8}" xr6:coauthVersionLast="47" xr6:coauthVersionMax="47" xr10:uidLastSave="{00000000-0000-0000-0000-000000000000}"/>
  <bookViews>
    <workbookView xWindow="-60" yWindow="-60" windowWidth="15480" windowHeight="11640" tabRatio="500" xr2:uid="{B5E3188F-97E2-48AB-8ED9-7E1E53BDF82F}"/>
  </bookViews>
  <sheets>
    <sheet name="Sheet1" sheetId="1" r:id="rId1"/>
  </sheets>
  <calcPr calcId="191028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W1" i="1"/>
  <c r="C1" i="1"/>
  <c r="E1" i="1"/>
  <c r="D1" i="1"/>
  <c r="F1" i="1"/>
  <c r="H1" i="1"/>
  <c r="G1" i="1"/>
  <c r="I1" i="1"/>
  <c r="K1" i="1"/>
  <c r="J1" i="1"/>
  <c r="L1" i="1"/>
  <c r="N1" i="1"/>
  <c r="M1" i="1"/>
  <c r="O1" i="1"/>
  <c r="Q1" i="1"/>
  <c r="P1" i="1"/>
  <c r="R1" i="1"/>
  <c r="T1" i="1"/>
  <c r="S1" i="1"/>
  <c r="U1" i="1"/>
  <c r="X1" i="1"/>
  <c r="V1" i="1"/>
  <c r="Y1" i="1"/>
  <c r="AA1" i="1"/>
  <c r="AM1" i="1"/>
  <c r="Z1" i="1"/>
  <c r="AB1" i="1"/>
  <c r="AD1" i="1"/>
  <c r="AC1" i="1"/>
  <c r="AE1" i="1"/>
  <c r="AG1" i="1"/>
  <c r="AF1" i="1"/>
  <c r="AH1" i="1"/>
  <c r="AJ1" i="1"/>
  <c r="AI1" i="1"/>
  <c r="AK1" i="1"/>
  <c r="AN1" i="1"/>
  <c r="AL1" i="1"/>
  <c r="AO1" i="1"/>
  <c r="AQ1" i="1"/>
  <c r="AP1" i="1"/>
  <c r="AR1" i="1"/>
  <c r="AT1" i="1"/>
  <c r="AS1" i="1"/>
  <c r="AU1" i="1"/>
  <c r="AW1" i="1"/>
  <c r="AV1" i="1"/>
  <c r="AX1" i="1"/>
  <c r="D2" i="1"/>
  <c r="T2" i="1"/>
  <c r="AB2" i="1"/>
  <c r="AJ2" i="1"/>
  <c r="Q3" i="1"/>
  <c r="AG3" i="1"/>
  <c r="AW3" i="1"/>
  <c r="N4" i="1"/>
  <c r="AD4" i="1"/>
  <c r="AT4" i="1"/>
  <c r="K5" i="1"/>
  <c r="AA5" i="1"/>
  <c r="AQ5" i="1"/>
  <c r="H6" i="1"/>
  <c r="X6" i="1"/>
  <c r="AN6" i="1"/>
  <c r="B2" i="1"/>
  <c r="E2" i="1"/>
  <c r="C2" i="1"/>
  <c r="F2" i="1"/>
  <c r="H2" i="1"/>
  <c r="G2" i="1"/>
  <c r="I2" i="1"/>
  <c r="K2" i="1"/>
  <c r="C5" i="1"/>
  <c r="J2" i="1"/>
  <c r="L2" i="1"/>
  <c r="N2" i="1"/>
  <c r="M2" i="1"/>
  <c r="O2" i="1"/>
  <c r="Q2" i="1"/>
  <c r="P6" i="1"/>
  <c r="P2" i="1"/>
  <c r="R2" i="1"/>
  <c r="U2" i="1"/>
  <c r="S2" i="1"/>
  <c r="V2" i="1"/>
  <c r="X2" i="1"/>
  <c r="AO3" i="1"/>
  <c r="W2" i="1"/>
  <c r="Y2" i="1"/>
  <c r="AA2" i="1"/>
  <c r="Z2" i="1"/>
  <c r="AC2" i="1"/>
  <c r="AE2" i="1"/>
  <c r="AV6" i="1"/>
  <c r="AD2" i="1"/>
  <c r="AF2" i="1"/>
  <c r="AH2" i="1"/>
  <c r="AG2" i="1"/>
  <c r="AI2" i="1"/>
  <c r="AL2" i="1"/>
  <c r="V4" i="1"/>
  <c r="AK2" i="1"/>
  <c r="AM2" i="1"/>
  <c r="AO2" i="1"/>
  <c r="AN2" i="1"/>
  <c r="AP2" i="1"/>
  <c r="AR2" i="1"/>
  <c r="AI5" i="1"/>
  <c r="AQ2" i="1"/>
  <c r="AS2" i="1"/>
  <c r="AU2" i="1"/>
  <c r="AT2" i="1"/>
  <c r="AV2" i="1"/>
  <c r="AX2" i="1"/>
  <c r="I3" i="1"/>
  <c r="AW2" i="1"/>
  <c r="C3" i="1"/>
  <c r="B3" i="1"/>
  <c r="D3" i="1"/>
  <c r="F3" i="1"/>
  <c r="E3" i="1"/>
  <c r="G3" i="1"/>
  <c r="J3" i="1"/>
  <c r="H3" i="1"/>
  <c r="K3" i="1"/>
  <c r="M3" i="1"/>
  <c r="AL4" i="1"/>
  <c r="L3" i="1"/>
  <c r="N3" i="1"/>
  <c r="P3" i="1"/>
  <c r="O3" i="1"/>
  <c r="R3" i="1"/>
  <c r="T3" i="1"/>
  <c r="S3" i="1"/>
  <c r="U3" i="1"/>
  <c r="W3" i="1"/>
  <c r="V3" i="1"/>
  <c r="X3" i="1"/>
  <c r="Y3" i="1"/>
  <c r="AA3" i="1"/>
  <c r="Z3" i="1"/>
  <c r="AB3" i="1"/>
  <c r="AD3" i="1"/>
  <c r="AC3" i="1"/>
  <c r="AE3" i="1"/>
  <c r="AH3" i="1"/>
  <c r="AF6" i="1"/>
  <c r="AF3" i="1"/>
  <c r="AI3" i="1"/>
  <c r="AK3" i="1"/>
  <c r="AJ3" i="1"/>
  <c r="AL3" i="1"/>
  <c r="AN3" i="1"/>
  <c r="F4" i="1"/>
  <c r="AM3" i="1"/>
  <c r="AP3" i="1"/>
  <c r="AR3" i="1"/>
  <c r="AQ3" i="1"/>
  <c r="AS3" i="1"/>
  <c r="AU3" i="1"/>
  <c r="S5" i="1"/>
  <c r="AT3" i="1"/>
  <c r="AV3" i="1"/>
  <c r="AX3" i="1"/>
  <c r="B4" i="1"/>
  <c r="D4" i="1"/>
  <c r="C4" i="1"/>
  <c r="E4" i="1"/>
  <c r="H4" i="1"/>
  <c r="G4" i="1"/>
  <c r="I4" i="1"/>
  <c r="K4" i="1"/>
  <c r="J4" i="1"/>
  <c r="L4" i="1"/>
  <c r="O4" i="1"/>
  <c r="M4" i="1"/>
  <c r="P4" i="1"/>
  <c r="R4" i="1"/>
  <c r="G5" i="1"/>
  <c r="Q4" i="1"/>
  <c r="S4" i="1"/>
  <c r="U4" i="1"/>
  <c r="T4" i="1"/>
  <c r="W4" i="1"/>
  <c r="Y4" i="1"/>
  <c r="T6" i="1"/>
  <c r="X4" i="1"/>
  <c r="Z4" i="1"/>
  <c r="AB4" i="1"/>
  <c r="AA4" i="1"/>
  <c r="AC4" i="1"/>
  <c r="AE4" i="1"/>
  <c r="AG4" i="1"/>
  <c r="AF4" i="1"/>
  <c r="AH4" i="1"/>
  <c r="AJ4" i="1"/>
  <c r="AI4" i="1"/>
  <c r="AK4" i="1"/>
  <c r="AN4" i="1"/>
  <c r="AM4" i="1"/>
  <c r="AO4" i="1"/>
  <c r="AQ4" i="1"/>
  <c r="AP4" i="1"/>
  <c r="AR4" i="1"/>
  <c r="AS4" i="1"/>
  <c r="AV4" i="1"/>
  <c r="AU4" i="1"/>
  <c r="AW4" i="1"/>
  <c r="AX4" i="1"/>
  <c r="A5" i="1"/>
  <c r="D5" i="1"/>
  <c r="AM5" i="1"/>
  <c r="B5" i="1"/>
  <c r="E5" i="1"/>
  <c r="H5" i="1"/>
  <c r="F5" i="1"/>
  <c r="I5" i="1"/>
  <c r="J5" i="1"/>
  <c r="M5" i="1"/>
  <c r="L5" i="1"/>
  <c r="N5" i="1"/>
  <c r="P5" i="1"/>
  <c r="O5" i="1"/>
  <c r="Q5" i="1"/>
  <c r="T5" i="1"/>
  <c r="R5" i="1"/>
  <c r="U5" i="1"/>
  <c r="W5" i="1"/>
  <c r="V5" i="1"/>
  <c r="X5" i="1"/>
  <c r="Y5" i="1"/>
  <c r="AB5" i="1"/>
  <c r="Z5" i="1"/>
  <c r="AC5" i="1"/>
  <c r="AE5" i="1"/>
  <c r="AD5" i="1"/>
  <c r="AF5" i="1"/>
  <c r="AH5" i="1"/>
  <c r="D6" i="1"/>
  <c r="AG5" i="1"/>
  <c r="AJ5" i="1"/>
  <c r="AL5" i="1"/>
  <c r="AK5" i="1"/>
  <c r="AN5" i="1"/>
  <c r="AO5" i="1"/>
  <c r="AR5" i="1"/>
  <c r="AP5" i="1"/>
  <c r="AS5" i="1"/>
  <c r="AU5" i="1"/>
  <c r="AT5" i="1"/>
  <c r="AV5" i="1"/>
  <c r="AX5" i="1"/>
  <c r="AJ6" i="1"/>
  <c r="AW5" i="1"/>
  <c r="A6" i="1"/>
  <c r="C6" i="1"/>
  <c r="B6" i="1"/>
  <c r="E6" i="1"/>
  <c r="F6" i="1"/>
  <c r="I6" i="1"/>
  <c r="G6" i="1"/>
  <c r="J6" i="1"/>
  <c r="L6" i="1"/>
  <c r="K6" i="1"/>
  <c r="M6" i="1"/>
  <c r="N6" i="1"/>
  <c r="Q6" i="1"/>
  <c r="O6" i="1"/>
  <c r="R6" i="1"/>
  <c r="U6" i="1"/>
  <c r="S6" i="1"/>
  <c r="V6" i="1"/>
  <c r="W6" i="1"/>
  <c r="Z6" i="1"/>
  <c r="Y6" i="1"/>
  <c r="AA6" i="1"/>
  <c r="AC6" i="1"/>
  <c r="AB6" i="1"/>
  <c r="AD6" i="1"/>
  <c r="AG6" i="1"/>
  <c r="AE6" i="1"/>
  <c r="AH6" i="1"/>
  <c r="AK6" i="1"/>
  <c r="AI6" i="1"/>
  <c r="AL6" i="1"/>
  <c r="AM6" i="1"/>
  <c r="AP6" i="1"/>
  <c r="AO6" i="1"/>
  <c r="AQ6" i="1"/>
  <c r="AS6" i="1"/>
  <c r="AR6" i="1"/>
  <c r="AT6" i="1"/>
  <c r="AU6" i="1"/>
  <c r="AX6" i="1"/>
  <c r="AW6" i="1"/>
</calcChain>
</file>

<file path=xl/sharedStrings.xml><?xml version="1.0" encoding="utf-8"?>
<sst xmlns="http://schemas.openxmlformats.org/spreadsheetml/2006/main" count="282" uniqueCount="123">
  <si>
    <t>AMINTOZ  INJ</t>
  </si>
  <si>
    <t>1ML</t>
  </si>
  <si>
    <t>KALYANI PHARMA DISTRIBUTORS</t>
  </si>
  <si>
    <t>Invalid CCode</t>
  </si>
  <si>
    <t>Invalid CName</t>
  </si>
  <si>
    <t>AMINTOZ INJ</t>
  </si>
  <si>
    <t>2ML</t>
  </si>
  <si>
    <t>68-A,Venkataramanan Street,Pollachi-642001</t>
  </si>
  <si>
    <t>Stock And Sales Report(Month) of Jul2026 for LINUX  INFINA</t>
  </si>
  <si>
    <t>PurchaseQuantity</t>
  </si>
  <si>
    <t>AdjustmentQuantity</t>
  </si>
  <si>
    <t>Jun2026NetValue</t>
  </si>
  <si>
    <t>ItemCost</t>
  </si>
  <si>
    <t>StockValueatSalePrice</t>
  </si>
  <si>
    <t>Class Code</t>
  </si>
  <si>
    <t>Report Generated On : 01/08/26 9:41:12 AM</t>
  </si>
  <si>
    <t>SalevatwithoutReturn</t>
  </si>
  <si>
    <t>AMINTOZ TAB</t>
  </si>
  <si>
    <t>10'S</t>
  </si>
  <si>
    <t>ProductCode</t>
  </si>
  <si>
    <t>SaleValue</t>
  </si>
  <si>
    <t>SubClass Code</t>
  </si>
  <si>
    <t>PurchaseVat</t>
  </si>
  <si>
    <t>Pack</t>
  </si>
  <si>
    <t>ProductName</t>
  </si>
  <si>
    <t>OpeningStock</t>
  </si>
  <si>
    <t>SaleQuantitywithoutreturn</t>
  </si>
  <si>
    <t>TotalStock</t>
  </si>
  <si>
    <t>Total Sales</t>
  </si>
  <si>
    <t>Order Qty</t>
  </si>
  <si>
    <t>TransitQty</t>
  </si>
  <si>
    <t>Order Free Qty</t>
  </si>
  <si>
    <t>Jun2026SalesQty</t>
  </si>
  <si>
    <t>NetStockValue@Purchase</t>
  </si>
  <si>
    <t>SalesNet</t>
  </si>
  <si>
    <t>StockVatatPurchaseprice</t>
  </si>
  <si>
    <t>SaleVat</t>
  </si>
  <si>
    <t>TransferOutValue</t>
  </si>
  <si>
    <t>SaleValue@SalePrice</t>
  </si>
  <si>
    <t>FreeStockReceivedOnPurchase</t>
  </si>
  <si>
    <t>NetPurhaseValue</t>
  </si>
  <si>
    <t>PendingPoQuantity</t>
  </si>
  <si>
    <t>PurchaseValue</t>
  </si>
  <si>
    <t>TransferInQuantity</t>
  </si>
  <si>
    <t>PurchasevaluewithoutReturn</t>
  </si>
  <si>
    <t>SaleReturnQuantity</t>
  </si>
  <si>
    <t>PurchaseVatwithoutReturn</t>
  </si>
  <si>
    <t>SalevaluewithoutReturn</t>
  </si>
  <si>
    <t>Jun2026SalesValue</t>
  </si>
  <si>
    <t>Order Value</t>
  </si>
  <si>
    <t>Jun2026TaxValue</t>
  </si>
  <si>
    <t>May2026NetValue</t>
  </si>
  <si>
    <t>May2026SalesQty</t>
  </si>
  <si>
    <t>May2026SalesValue</t>
  </si>
  <si>
    <t>Sales Replacementqty</t>
  </si>
  <si>
    <t>Last Month Institute Sales Qty</t>
  </si>
  <si>
    <t>Sales Qty W/O POB Sales</t>
  </si>
  <si>
    <t>Last Month Institute Sales Value</t>
  </si>
  <si>
    <t>Category Code</t>
  </si>
  <si>
    <t>Class Name</t>
  </si>
  <si>
    <t>Category Name</t>
  </si>
  <si>
    <t>SubClass Name</t>
  </si>
  <si>
    <t>ARIDAY 10MG</t>
  </si>
  <si>
    <t>ARIDAY 2.5MG</t>
  </si>
  <si>
    <t>BENFICA</t>
  </si>
  <si>
    <t>BENFICA FORTE CAP</t>
  </si>
  <si>
    <t>BENFICA FORTE CAPS 15'S</t>
  </si>
  <si>
    <t>15'S</t>
  </si>
  <si>
    <t>CARNIGLO M TAB</t>
  </si>
  <si>
    <t>CARNIGLO TAB</t>
  </si>
  <si>
    <t>COGNIZA INJ</t>
  </si>
  <si>
    <t>INJ</t>
  </si>
  <si>
    <t>COGNIZA TAB</t>
  </si>
  <si>
    <t>DIVALID ER 1GM TAB</t>
  </si>
  <si>
    <t>DIVALID ER 250MG</t>
  </si>
  <si>
    <t>DIVALID ER 500MG</t>
  </si>
  <si>
    <t>EPITRA 250MG</t>
  </si>
  <si>
    <t>EPITRA 500MG TAB</t>
  </si>
  <si>
    <t>EPITRA 750MG</t>
  </si>
  <si>
    <t>EPITRA ER 1GM</t>
  </si>
  <si>
    <t>EPITRA INJ</t>
  </si>
  <si>
    <t>5ML</t>
  </si>
  <si>
    <t>EPITRA RTU 500MG</t>
  </si>
  <si>
    <t>100ML</t>
  </si>
  <si>
    <t>EPITRA SUS</t>
  </si>
  <si>
    <t>GABAGESIC  GEL</t>
  </si>
  <si>
    <t>50GM</t>
  </si>
  <si>
    <t>GABAGESIC 100MG</t>
  </si>
  <si>
    <t>GABAGESIC 100MG TAB</t>
  </si>
  <si>
    <t>GABAGESIC 300MG</t>
  </si>
  <si>
    <t>GABAGESIC GEL</t>
  </si>
  <si>
    <t>30GM</t>
  </si>
  <si>
    <t>GABAGESIC M</t>
  </si>
  <si>
    <t>GABAGESIC M TAB</t>
  </si>
  <si>
    <t>GABAGESIC NT  400MG</t>
  </si>
  <si>
    <t>GABAGESIC NT 100MG</t>
  </si>
  <si>
    <t>GABAGESIC NT 200MG</t>
  </si>
  <si>
    <t>GABAGESIC NT 400MG</t>
  </si>
  <si>
    <t>GABAGESIC PLUS</t>
  </si>
  <si>
    <t>LIVIZ TAB</t>
  </si>
  <si>
    <t>METHONAC TAB</t>
  </si>
  <si>
    <t>NEULORA 1MG</t>
  </si>
  <si>
    <t>NEULORA 2MG</t>
  </si>
  <si>
    <t>OLINSTAB 10MG</t>
  </si>
  <si>
    <t>OLINSTAB 2.5MG</t>
  </si>
  <si>
    <t>OLINSTAB 5MG</t>
  </si>
  <si>
    <t>OLINSTAB 7.5MG</t>
  </si>
  <si>
    <t>OLINSTAB F TAB</t>
  </si>
  <si>
    <t>PALMIDA  TAB</t>
  </si>
  <si>
    <t>PALMIDA TAB</t>
  </si>
  <si>
    <t>PRONATE 10MG</t>
  </si>
  <si>
    <t>PRONATE 20MG</t>
  </si>
  <si>
    <t>PRONATE 40MG</t>
  </si>
  <si>
    <t>PRONATE EZ TAB</t>
  </si>
  <si>
    <t>PRONATE F TAB</t>
  </si>
  <si>
    <t>PRONATE TR 40MG</t>
  </si>
  <si>
    <t>QLINO CAP</t>
  </si>
  <si>
    <t>1'S</t>
  </si>
  <si>
    <t>REXITE CD3</t>
  </si>
  <si>
    <t>VALEPTOL CR 200MG</t>
  </si>
  <si>
    <t>VALEPTOL CR 300MG</t>
  </si>
  <si>
    <t>VALEPTOL CR 500MG</t>
  </si>
  <si>
    <t>VALEPTOL 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</si>
</sst>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.25"/>
      <name val="Microsoft Sans Serif"/>
    </font>
    <font>
      <sz val="8.25"/>
      <name val="Microsoft Sans Serif"/>
    </font>
    <font>
      <sz val="8.25"/>
      <color indexed="20"/>
      <name val="Microsoft Sans Serif"/>
    </font>
    <font>
      <sz val="8.25"/>
      <color indexed="25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32"/>
      </patternFill>
    </fill>
  </fills>
  <borders count="1">
    <border>
      <left/>
      <right/>
      <top/>
      <bottom/>
      <diagonal/>
    </border>
  </borders>
  <cellStyleXfs count="1">
    <xf numFmtId="0" fontId="0" fillId="0" borderId="0">
      <protection locked="0"/>
    </xf>
  </cellStyleXfs>
  <cellXfs count="25">
    <xf numFmtId="0" fontId="1" fillId="0" borderId="0" xfId="0" applyFont="1" applyAlignment="1">
      <alignment vertical="top"/>
      <protection locked="0"/>
    </xf>
    <xf numFmtId="1" fontId="1" fillId="0" borderId="0" xfId="0" applyNumberFormat="1" applyFont="1" applyAlignment="1" applyProtection="1">
      <alignment vertical="top"/>
    </xf>
    <xf numFmtId="49" fontId="1" fillId="0" borderId="0" xfId="0" applyNumberFormat="1" applyFont="1" applyAlignment="1" applyProtection="1">
      <alignment vertical="top"/>
    </xf>
    <xf numFmtId="1" fontId="1" fillId="2" borderId="0" xfId="0" applyNumberFormat="1" applyFont="1" applyFill="1" applyAlignment="1">
      <alignment horizontal="right" vertical="top"/>
      <protection locked="0"/>
    </xf>
    <xf numFmtId="49" fontId="1" fillId="0" borderId="0" xfId="0" applyNumberFormat="1" applyFont="1" applyAlignment="1" applyProtection="1">
      <alignment horizontal="right" vertical="top"/>
    </xf>
    <xf numFmtId="2" fontId="1" fillId="0" borderId="0" xfId="0" applyNumberFormat="1" applyFont="1" applyAlignment="1" applyProtection="1">
      <alignment horizontal="right" vertical="top"/>
    </xf>
    <xf numFmtId="1" fontId="1" fillId="0" borderId="0" xfId="0" applyNumberFormat="1" applyFont="1" applyAlignment="1" applyProtection="1">
      <alignment horizontal="right" vertical="top"/>
    </xf>
    <xf numFmtId="0" fontId="1" fillId="3" borderId="0" xfId="0" applyFont="1" applyFill="1" applyAlignment="1">
      <alignment vertical="top"/>
      <protection locked="0"/>
    </xf>
    <xf numFmtId="1" fontId="1" fillId="3" borderId="0" xfId="0" applyNumberFormat="1" applyFont="1" applyFill="1" applyAlignment="1" applyProtection="1">
      <alignment vertical="top"/>
    </xf>
    <xf numFmtId="49" fontId="1" fillId="3" borderId="0" xfId="0" applyNumberFormat="1" applyFont="1" applyFill="1" applyAlignment="1" applyProtection="1">
      <alignment vertical="top"/>
    </xf>
    <xf numFmtId="1" fontId="1" fillId="3" borderId="0" xfId="0" applyNumberFormat="1" applyFont="1" applyFill="1" applyAlignment="1" applyProtection="1">
      <alignment horizontal="right" vertical="top"/>
    </xf>
    <xf numFmtId="1" fontId="1" fillId="3" borderId="0" xfId="0" applyNumberFormat="1" applyFont="1" applyFill="1" applyAlignment="1">
      <alignment horizontal="right" vertical="top"/>
      <protection locked="0"/>
    </xf>
    <xf numFmtId="49" fontId="1" fillId="3" borderId="0" xfId="0" applyNumberFormat="1" applyFont="1" applyFill="1" applyAlignment="1" applyProtection="1">
      <alignment horizontal="right" vertical="top"/>
    </xf>
    <xf numFmtId="2" fontId="1" fillId="3" borderId="0" xfId="0" applyNumberFormat="1" applyFont="1" applyFill="1" applyAlignment="1" applyProtection="1">
      <alignment horizontal="right" vertical="top"/>
    </xf>
    <xf numFmtId="0" fontId="2" fillId="0" borderId="0" xfId="0" applyFont="1" applyAlignment="1">
      <alignment vertical="top"/>
      <protection locked="0"/>
    </xf>
    <xf numFmtId="1" fontId="2" fillId="0" borderId="0" xfId="0" applyNumberFormat="1" applyFont="1" applyAlignment="1" applyProtection="1">
      <alignment vertical="top"/>
    </xf>
    <xf numFmtId="49" fontId="2" fillId="0" borderId="0" xfId="0" applyNumberFormat="1" applyFont="1" applyAlignment="1" applyProtection="1">
      <alignment vertical="top"/>
    </xf>
    <xf numFmtId="1" fontId="2" fillId="0" borderId="0" xfId="0" applyNumberFormat="1" applyFont="1" applyAlignment="1" applyProtection="1">
      <alignment horizontal="right" vertical="top"/>
    </xf>
    <xf numFmtId="1" fontId="2" fillId="2" borderId="0" xfId="0" applyNumberFormat="1" applyFont="1" applyFill="1" applyAlignment="1">
      <alignment horizontal="right" vertical="top"/>
      <protection locked="0"/>
    </xf>
    <xf numFmtId="49" fontId="2" fillId="0" borderId="0" xfId="0" applyNumberFormat="1" applyFont="1" applyAlignment="1" applyProtection="1">
      <alignment horizontal="right" vertical="top"/>
    </xf>
    <xf numFmtId="2" fontId="2" fillId="0" borderId="0" xfId="0" applyNumberFormat="1" applyFont="1" applyAlignment="1" applyProtection="1">
      <alignment horizontal="right" vertical="top"/>
    </xf>
    <xf numFmtId="1" fontId="1" fillId="2" borderId="0" xfId="0" applyNumberFormat="1" applyFont="1" applyFill="1" applyAlignment="1" applyProtection="1">
      <alignment horizontal="right" vertical="top"/>
    </xf>
    <xf numFmtId="0" fontId="1" fillId="0" borderId="0" xfId="0" applyFont="1" applyFill="1" applyAlignment="1">
      <alignment horizontal="center" vertical="center"/>
      <protection locked="0"/>
    </xf>
    <xf numFmtId="0" fontId="3" fillId="0" borderId="0" xfId="0" applyFont="1" applyFill="1" applyAlignment="1">
      <alignment horizontal="center" vertical="center" wrapText="1"/>
      <protection locked="0"/>
    </xf>
    <xf numFmtId="0" fontId="3" fillId="0" borderId="0" xfId="0" applyFont="1" applyFill="1" applyAlignment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A52A2A"/>
      <rgbColor rgb="00FFFFCC"/>
      <rgbColor rgb="00FFE4E1"/>
      <rgbColor rgb="00660066"/>
      <rgbColor rgb="00FF8080"/>
      <rgbColor rgb="000066CC"/>
      <rgbColor rgb="00CCCCFF"/>
      <rgbColor rgb="00FF7F5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BEAB-C587-4053-8A64-47D08B81ECD4}">
  <dimension ref="A1:AX65"/>
  <sheetViews>
    <sheetView tabSelected="1" workbookViewId="0">
      <pane ySplit="7" topLeftCell="A8" activePane="bottomLeft" state="frozenSplit"/>
      <selection activeCell="A8" sqref="A8"/>
      <selection pane="bottomLeft" activeCell="A8" sqref="A8"/>
    </sheetView>
  </sheetViews>
  <sheetFormatPr defaultColWidth="9.96875" defaultRowHeight="15" customHeight="1" x14ac:dyDescent="0.1"/>
  <cols>
    <col min="1" max="1" width="8.3359375" style="1" customWidth="1"/>
    <col min="2" max="2" width="27.296875" style="2" customWidth="1"/>
    <col min="3" max="3" width="11.27734375" style="2" customWidth="1"/>
    <col min="4" max="4" width="9.15234375" style="6" customWidth="1"/>
    <col min="5" max="5" width="15.36328125" style="6" customWidth="1"/>
    <col min="6" max="6" width="20.10546875" style="6" customWidth="1"/>
    <col min="7" max="7" width="12.421875" style="6" customWidth="1"/>
    <col min="8" max="8" width="10.94921875" style="6" customWidth="1"/>
    <col min="9" max="10" width="9.96875" style="21" customWidth="1"/>
    <col min="11" max="11" width="8.3359375" style="6" customWidth="1"/>
    <col min="12" max="12" width="9.96875" style="4" hidden="1" customWidth="1"/>
    <col min="13" max="13" width="15.19921875" style="5" customWidth="1"/>
    <col min="14" max="14" width="11.44140625" style="5" customWidth="1"/>
    <col min="15" max="15" width="9.15234375" style="5" customWidth="1"/>
    <col min="16" max="16" width="15.85546875" style="5" customWidth="1"/>
    <col min="17" max="17" width="15.52734375" style="5" customWidth="1"/>
    <col min="18" max="18" width="14.87109375" style="5" customWidth="1"/>
    <col min="19" max="19" width="16.8359375" style="5" customWidth="1"/>
    <col min="20" max="20" width="6.53515625" style="5" customWidth="1"/>
    <col min="21" max="22" width="9.96875" style="6" customWidth="1"/>
    <col min="23" max="23" width="16.5078125" style="5" customWidth="1"/>
    <col min="24" max="24" width="10.4609375" style="5" customWidth="1"/>
    <col min="25" max="25" width="9.31640625" style="5" customWidth="1"/>
    <col min="26" max="26" width="7.6796875" style="6" customWidth="1"/>
    <col min="27" max="27" width="9.96875" style="6" customWidth="1"/>
    <col min="28" max="28" width="13.73046875" style="6" customWidth="1"/>
    <col min="29" max="29" width="9.31640625" style="5" customWidth="1"/>
    <col min="30" max="30" width="10.4609375" style="5" customWidth="1"/>
    <col min="31" max="31" width="9.31640625" style="5" customWidth="1"/>
    <col min="32" max="32" width="10.4609375" style="5" customWidth="1"/>
    <col min="33" max="33" width="8.171875" style="5" customWidth="1"/>
    <col min="34" max="34" width="9.96875" style="5" customWidth="1"/>
    <col min="35" max="40" width="9.96875" style="4" hidden="1" customWidth="1"/>
    <col min="41" max="41" width="8.3359375" style="6" customWidth="1"/>
    <col min="42" max="42" width="19.44921875" style="6" customWidth="1"/>
    <col min="43" max="43" width="9.96875" style="6" customWidth="1"/>
    <col min="44" max="44" width="9.96875" style="5" customWidth="1"/>
    <col min="45" max="50" width="9.96875" style="2" customWidth="1"/>
  </cols>
  <sheetData>
    <row r="1" spans="1:50" s="22" customFormat="1" ht="15" customHeight="1" x14ac:dyDescent="0.1">
      <c r="A1" s="24" t="s">
        <v>2</v>
      </c>
      <c r="B1" s="24" t="str">
        <f>""</f>
        <v/>
      </c>
      <c r="C1" s="24" t="str">
        <f>""</f>
        <v/>
      </c>
      <c r="D1" s="24" t="str">
        <f>""</f>
        <v/>
      </c>
      <c r="E1" s="24" t="str">
        <f>""</f>
        <v/>
      </c>
      <c r="F1" s="24" t="str">
        <f>""</f>
        <v/>
      </c>
      <c r="G1" s="24" t="str">
        <f>""</f>
        <v/>
      </c>
      <c r="H1" s="24" t="str">
        <f>""</f>
        <v/>
      </c>
      <c r="I1" s="24" t="str">
        <f>""</f>
        <v/>
      </c>
      <c r="J1" s="24" t="str">
        <f>""</f>
        <v/>
      </c>
      <c r="K1" s="24" t="str">
        <f>""</f>
        <v/>
      </c>
      <c r="L1" s="24" t="str">
        <f>""</f>
        <v/>
      </c>
      <c r="M1" s="24" t="str">
        <f>""</f>
        <v/>
      </c>
      <c r="N1" s="24" t="str">
        <f>""</f>
        <v/>
      </c>
      <c r="O1" s="24" t="str">
        <f>""</f>
        <v/>
      </c>
      <c r="P1" s="24" t="str">
        <f>""</f>
        <v/>
      </c>
      <c r="Q1" s="24" t="str">
        <f>""</f>
        <v/>
      </c>
      <c r="R1" s="24" t="str">
        <f>""</f>
        <v/>
      </c>
      <c r="S1" s="24" t="str">
        <f>""</f>
        <v/>
      </c>
      <c r="T1" s="24" t="str">
        <f>""</f>
        <v/>
      </c>
      <c r="U1" s="24" t="str">
        <f>""</f>
        <v/>
      </c>
      <c r="V1" s="24" t="str">
        <f>""</f>
        <v/>
      </c>
      <c r="W1" s="24" t="str">
        <f>""</f>
        <v/>
      </c>
      <c r="X1" s="24" t="str">
        <f>""</f>
        <v/>
      </c>
      <c r="Y1" s="24" t="str">
        <f>""</f>
        <v/>
      </c>
      <c r="Z1" s="24" t="str">
        <f>""</f>
        <v/>
      </c>
      <c r="AA1" s="24" t="str">
        <f>""</f>
        <v/>
      </c>
      <c r="AB1" s="24" t="str">
        <f>""</f>
        <v/>
      </c>
      <c r="AC1" s="24" t="str">
        <f>""</f>
        <v/>
      </c>
      <c r="AD1" s="24" t="str">
        <f>""</f>
        <v/>
      </c>
      <c r="AE1" s="24" t="str">
        <f>""</f>
        <v/>
      </c>
      <c r="AF1" s="24" t="str">
        <f>""</f>
        <v/>
      </c>
      <c r="AG1" s="24" t="str">
        <f>""</f>
        <v/>
      </c>
      <c r="AH1" s="24" t="str">
        <f>""</f>
        <v/>
      </c>
      <c r="AI1" s="24" t="str">
        <f>""</f>
        <v/>
      </c>
      <c r="AJ1" s="24" t="str">
        <f>""</f>
        <v/>
      </c>
      <c r="AK1" s="24" t="str">
        <f>""</f>
        <v/>
      </c>
      <c r="AL1" s="24" t="str">
        <f>""</f>
        <v/>
      </c>
      <c r="AM1" s="24" t="str">
        <f>""</f>
        <v/>
      </c>
      <c r="AN1" s="24" t="str">
        <f>""</f>
        <v/>
      </c>
      <c r="AO1" s="24" t="str">
        <f>""</f>
        <v/>
      </c>
      <c r="AP1" s="24" t="str">
        <f>""</f>
        <v/>
      </c>
      <c r="AQ1" s="24" t="str">
        <f>""</f>
        <v/>
      </c>
      <c r="AR1" s="24" t="str">
        <f>""</f>
        <v/>
      </c>
      <c r="AS1" s="24" t="str">
        <f>""</f>
        <v/>
      </c>
      <c r="AT1" s="24" t="str">
        <f>""</f>
        <v/>
      </c>
      <c r="AU1" s="24" t="str">
        <f>""</f>
        <v/>
      </c>
      <c r="AV1" s="24" t="str">
        <f>""</f>
        <v/>
      </c>
      <c r="AW1" s="24" t="str">
        <f>""</f>
        <v/>
      </c>
      <c r="AX1" s="24" t="str">
        <f>""</f>
        <v/>
      </c>
    </row>
    <row r="2" spans="1:50" s="22" customFormat="1" ht="15" customHeight="1" x14ac:dyDescent="0.1">
      <c r="A2" s="24" t="s">
        <v>7</v>
      </c>
      <c r="B2" s="24" t="str">
        <f>""</f>
        <v/>
      </c>
      <c r="C2" s="24" t="str">
        <f>""</f>
        <v/>
      </c>
      <c r="D2" s="24" t="str">
        <f>""</f>
        <v/>
      </c>
      <c r="E2" s="24" t="str">
        <f>""</f>
        <v/>
      </c>
      <c r="F2" s="24" t="str">
        <f>""</f>
        <v/>
      </c>
      <c r="G2" s="24" t="str">
        <f>""</f>
        <v/>
      </c>
      <c r="H2" s="24" t="str">
        <f>""</f>
        <v/>
      </c>
      <c r="I2" s="24" t="str">
        <f>""</f>
        <v/>
      </c>
      <c r="J2" s="24" t="str">
        <f>""</f>
        <v/>
      </c>
      <c r="K2" s="24" t="str">
        <f>""</f>
        <v/>
      </c>
      <c r="L2" s="24" t="str">
        <f>""</f>
        <v/>
      </c>
      <c r="M2" s="24" t="str">
        <f>""</f>
        <v/>
      </c>
      <c r="N2" s="24" t="str">
        <f>""</f>
        <v/>
      </c>
      <c r="O2" s="24" t="str">
        <f>""</f>
        <v/>
      </c>
      <c r="P2" s="24" t="str">
        <f>""</f>
        <v/>
      </c>
      <c r="Q2" s="24" t="str">
        <f>""</f>
        <v/>
      </c>
      <c r="R2" s="24" t="str">
        <f>""</f>
        <v/>
      </c>
      <c r="S2" s="24" t="str">
        <f>""</f>
        <v/>
      </c>
      <c r="T2" s="24" t="str">
        <f>""</f>
        <v/>
      </c>
      <c r="U2" s="24" t="str">
        <f>""</f>
        <v/>
      </c>
      <c r="V2" s="24" t="str">
        <f>""</f>
        <v/>
      </c>
      <c r="W2" s="24" t="str">
        <f>""</f>
        <v/>
      </c>
      <c r="X2" s="24" t="str">
        <f>""</f>
        <v/>
      </c>
      <c r="Y2" s="24" t="str">
        <f>""</f>
        <v/>
      </c>
      <c r="Z2" s="24" t="str">
        <f>""</f>
        <v/>
      </c>
      <c r="AA2" s="24" t="str">
        <f>""</f>
        <v/>
      </c>
      <c r="AB2" s="24" t="str">
        <f>""</f>
        <v/>
      </c>
      <c r="AC2" s="24" t="str">
        <f>""</f>
        <v/>
      </c>
      <c r="AD2" s="24" t="str">
        <f>""</f>
        <v/>
      </c>
      <c r="AE2" s="24" t="str">
        <f>""</f>
        <v/>
      </c>
      <c r="AF2" s="24" t="str">
        <f>""</f>
        <v/>
      </c>
      <c r="AG2" s="24" t="str">
        <f>""</f>
        <v/>
      </c>
      <c r="AH2" s="24" t="str">
        <f>""</f>
        <v/>
      </c>
      <c r="AI2" s="24" t="str">
        <f>""</f>
        <v/>
      </c>
      <c r="AJ2" s="24" t="str">
        <f>""</f>
        <v/>
      </c>
      <c r="AK2" s="24" t="str">
        <f>""</f>
        <v/>
      </c>
      <c r="AL2" s="24" t="str">
        <f>""</f>
        <v/>
      </c>
      <c r="AM2" s="24" t="str">
        <f>""</f>
        <v/>
      </c>
      <c r="AN2" s="24" t="str">
        <f>""</f>
        <v/>
      </c>
      <c r="AO2" s="24" t="str">
        <f>""</f>
        <v/>
      </c>
      <c r="AP2" s="24" t="str">
        <f>""</f>
        <v/>
      </c>
      <c r="AQ2" s="24" t="str">
        <f>""</f>
        <v/>
      </c>
      <c r="AR2" s="24" t="str">
        <f>""</f>
        <v/>
      </c>
      <c r="AS2" s="24" t="str">
        <f>""</f>
        <v/>
      </c>
      <c r="AT2" s="24" t="str">
        <f>""</f>
        <v/>
      </c>
      <c r="AU2" s="24" t="str">
        <f>""</f>
        <v/>
      </c>
      <c r="AV2" s="24" t="str">
        <f>""</f>
        <v/>
      </c>
      <c r="AW2" s="24" t="str">
        <f>""</f>
        <v/>
      </c>
      <c r="AX2" s="24" t="str">
        <f>""</f>
        <v/>
      </c>
    </row>
    <row r="3" spans="1:50" s="22" customFormat="1" ht="15" customHeight="1" x14ac:dyDescent="0.1">
      <c r="A3" s="24" t="s">
        <v>8</v>
      </c>
      <c r="B3" s="24" t="str">
        <f>""</f>
        <v/>
      </c>
      <c r="C3" s="24" t="str">
        <f>""</f>
        <v/>
      </c>
      <c r="D3" s="24" t="str">
        <f>""</f>
        <v/>
      </c>
      <c r="E3" s="24" t="str">
        <f>""</f>
        <v/>
      </c>
      <c r="F3" s="24" t="str">
        <f>""</f>
        <v/>
      </c>
      <c r="G3" s="24" t="str">
        <f>""</f>
        <v/>
      </c>
      <c r="H3" s="24" t="str">
        <f>""</f>
        <v/>
      </c>
      <c r="I3" s="24" t="str">
        <f>""</f>
        <v/>
      </c>
      <c r="J3" s="24" t="str">
        <f>""</f>
        <v/>
      </c>
      <c r="K3" s="24" t="str">
        <f>""</f>
        <v/>
      </c>
      <c r="L3" s="24" t="str">
        <f>""</f>
        <v/>
      </c>
      <c r="M3" s="24" t="str">
        <f>""</f>
        <v/>
      </c>
      <c r="N3" s="24" t="str">
        <f>""</f>
        <v/>
      </c>
      <c r="O3" s="24" t="str">
        <f>""</f>
        <v/>
      </c>
      <c r="P3" s="24" t="str">
        <f>""</f>
        <v/>
      </c>
      <c r="Q3" s="24" t="str">
        <f>""</f>
        <v/>
      </c>
      <c r="R3" s="24" t="str">
        <f>""</f>
        <v/>
      </c>
      <c r="S3" s="24" t="str">
        <f>""</f>
        <v/>
      </c>
      <c r="T3" s="24" t="str">
        <f>""</f>
        <v/>
      </c>
      <c r="U3" s="24" t="str">
        <f>""</f>
        <v/>
      </c>
      <c r="V3" s="24" t="str">
        <f>""</f>
        <v/>
      </c>
      <c r="W3" s="24" t="str">
        <f>""</f>
        <v/>
      </c>
      <c r="X3" s="24" t="str">
        <f>""</f>
        <v/>
      </c>
      <c r="Y3" s="24" t="str">
        <f>""</f>
        <v/>
      </c>
      <c r="Z3" s="24" t="str">
        <f>""</f>
        <v/>
      </c>
      <c r="AA3" s="24" t="str">
        <f>""</f>
        <v/>
      </c>
      <c r="AB3" s="24" t="str">
        <f>""</f>
        <v/>
      </c>
      <c r="AC3" s="24" t="str">
        <f>""</f>
        <v/>
      </c>
      <c r="AD3" s="24" t="str">
        <f>""</f>
        <v/>
      </c>
      <c r="AE3" s="24" t="str">
        <f>""</f>
        <v/>
      </c>
      <c r="AF3" s="24" t="str">
        <f>""</f>
        <v/>
      </c>
      <c r="AG3" s="24" t="str">
        <f>""</f>
        <v/>
      </c>
      <c r="AH3" s="24" t="str">
        <f>""</f>
        <v/>
      </c>
      <c r="AI3" s="24" t="str">
        <f>""</f>
        <v/>
      </c>
      <c r="AJ3" s="24" t="str">
        <f>""</f>
        <v/>
      </c>
      <c r="AK3" s="24" t="str">
        <f>""</f>
        <v/>
      </c>
      <c r="AL3" s="24" t="str">
        <f>""</f>
        <v/>
      </c>
      <c r="AM3" s="24" t="str">
        <f>""</f>
        <v/>
      </c>
      <c r="AN3" s="24" t="str">
        <f>""</f>
        <v/>
      </c>
      <c r="AO3" s="24" t="str">
        <f>""</f>
        <v/>
      </c>
      <c r="AP3" s="24" t="str">
        <f>""</f>
        <v/>
      </c>
      <c r="AQ3" s="24" t="str">
        <f>""</f>
        <v/>
      </c>
      <c r="AR3" s="24" t="str">
        <f>""</f>
        <v/>
      </c>
      <c r="AS3" s="24" t="str">
        <f>""</f>
        <v/>
      </c>
      <c r="AT3" s="24" t="str">
        <f>""</f>
        <v/>
      </c>
      <c r="AU3" s="24" t="str">
        <f>""</f>
        <v/>
      </c>
      <c r="AV3" s="24" t="str">
        <f>""</f>
        <v/>
      </c>
      <c r="AW3" s="24" t="str">
        <f>""</f>
        <v/>
      </c>
      <c r="AX3" s="24" t="str">
        <f>""</f>
        <v/>
      </c>
    </row>
    <row r="4" spans="1:50" s="22" customFormat="1" ht="15" customHeight="1" x14ac:dyDescent="0.1">
      <c r="A4" s="24" t="s">
        <v>15</v>
      </c>
      <c r="B4" s="24" t="str">
        <f>""</f>
        <v/>
      </c>
      <c r="C4" s="24" t="str">
        <f>""</f>
        <v/>
      </c>
      <c r="D4" s="24" t="str">
        <f>""</f>
        <v/>
      </c>
      <c r="E4" s="24" t="str">
        <f>""</f>
        <v/>
      </c>
      <c r="F4" s="24" t="str">
        <f>""</f>
        <v/>
      </c>
      <c r="G4" s="24" t="str">
        <f>""</f>
        <v/>
      </c>
      <c r="H4" s="24" t="str">
        <f>""</f>
        <v/>
      </c>
      <c r="I4" s="24" t="str">
        <f>""</f>
        <v/>
      </c>
      <c r="J4" s="24" t="str">
        <f>""</f>
        <v/>
      </c>
      <c r="K4" s="24" t="str">
        <f>""</f>
        <v/>
      </c>
      <c r="L4" s="24" t="str">
        <f>""</f>
        <v/>
      </c>
      <c r="M4" s="24" t="str">
        <f>""</f>
        <v/>
      </c>
      <c r="N4" s="24" t="str">
        <f>""</f>
        <v/>
      </c>
      <c r="O4" s="24" t="str">
        <f>""</f>
        <v/>
      </c>
      <c r="P4" s="24" t="str">
        <f>""</f>
        <v/>
      </c>
      <c r="Q4" s="24" t="str">
        <f>""</f>
        <v/>
      </c>
      <c r="R4" s="24" t="str">
        <f>""</f>
        <v/>
      </c>
      <c r="S4" s="24" t="str">
        <f>""</f>
        <v/>
      </c>
      <c r="T4" s="24" t="str">
        <f>""</f>
        <v/>
      </c>
      <c r="U4" s="24" t="str">
        <f>""</f>
        <v/>
      </c>
      <c r="V4" s="24" t="str">
        <f>""</f>
        <v/>
      </c>
      <c r="W4" s="24" t="str">
        <f>""</f>
        <v/>
      </c>
      <c r="X4" s="24" t="str">
        <f>""</f>
        <v/>
      </c>
      <c r="Y4" s="24" t="str">
        <f>""</f>
        <v/>
      </c>
      <c r="Z4" s="24" t="str">
        <f>""</f>
        <v/>
      </c>
      <c r="AA4" s="24" t="str">
        <f>""</f>
        <v/>
      </c>
      <c r="AB4" s="24" t="str">
        <f>""</f>
        <v/>
      </c>
      <c r="AC4" s="24" t="str">
        <f>""</f>
        <v/>
      </c>
      <c r="AD4" s="24" t="str">
        <f>""</f>
        <v/>
      </c>
      <c r="AE4" s="24" t="str">
        <f>""</f>
        <v/>
      </c>
      <c r="AF4" s="24" t="str">
        <f>""</f>
        <v/>
      </c>
      <c r="AG4" s="24" t="str">
        <f>""</f>
        <v/>
      </c>
      <c r="AH4" s="24" t="str">
        <f>""</f>
        <v/>
      </c>
      <c r="AI4" s="24" t="str">
        <f>""</f>
        <v/>
      </c>
      <c r="AJ4" s="24" t="str">
        <f>""</f>
        <v/>
      </c>
      <c r="AK4" s="24" t="str">
        <f>""</f>
        <v/>
      </c>
      <c r="AL4" s="24" t="str">
        <f>""</f>
        <v/>
      </c>
      <c r="AM4" s="24" t="str">
        <f>""</f>
        <v/>
      </c>
      <c r="AN4" s="24" t="str">
        <f>""</f>
        <v/>
      </c>
      <c r="AO4" s="24" t="str">
        <f>""</f>
        <v/>
      </c>
      <c r="AP4" s="24" t="str">
        <f>""</f>
        <v/>
      </c>
      <c r="AQ4" s="24" t="str">
        <f>""</f>
        <v/>
      </c>
      <c r="AR4" s="24" t="str">
        <f>""</f>
        <v/>
      </c>
      <c r="AS4" s="24" t="str">
        <f>""</f>
        <v/>
      </c>
      <c r="AT4" s="24" t="str">
        <f>""</f>
        <v/>
      </c>
      <c r="AU4" s="24" t="str">
        <f>""</f>
        <v/>
      </c>
      <c r="AV4" s="24" t="str">
        <f>""</f>
        <v/>
      </c>
      <c r="AW4" s="24" t="str">
        <f>""</f>
        <v/>
      </c>
      <c r="AX4" s="24" t="str">
        <f>""</f>
        <v/>
      </c>
    </row>
    <row r="5" spans="1:50" s="22" customFormat="1" ht="15" customHeight="1" x14ac:dyDescent="0.1">
      <c r="A5" s="24" t="str">
        <f>""</f>
        <v/>
      </c>
      <c r="B5" s="24" t="str">
        <f>""</f>
        <v/>
      </c>
      <c r="C5" s="24" t="str">
        <f>""</f>
        <v/>
      </c>
      <c r="D5" s="24" t="str">
        <f>""</f>
        <v/>
      </c>
      <c r="E5" s="24" t="str">
        <f>""</f>
        <v/>
      </c>
      <c r="F5" s="24" t="str">
        <f>""</f>
        <v/>
      </c>
      <c r="G5" s="24" t="str">
        <f>""</f>
        <v/>
      </c>
      <c r="H5" s="24" t="str">
        <f>""</f>
        <v/>
      </c>
      <c r="I5" s="24" t="str">
        <f>""</f>
        <v/>
      </c>
      <c r="J5" s="24" t="str">
        <f>""</f>
        <v/>
      </c>
      <c r="K5" s="24" t="str">
        <f>""</f>
        <v/>
      </c>
      <c r="L5" s="24" t="str">
        <f>""</f>
        <v/>
      </c>
      <c r="M5" s="24" t="str">
        <f>""</f>
        <v/>
      </c>
      <c r="N5" s="24" t="str">
        <f>""</f>
        <v/>
      </c>
      <c r="O5" s="24" t="str">
        <f>""</f>
        <v/>
      </c>
      <c r="P5" s="24" t="str">
        <f>""</f>
        <v/>
      </c>
      <c r="Q5" s="24" t="str">
        <f>""</f>
        <v/>
      </c>
      <c r="R5" s="24" t="str">
        <f>""</f>
        <v/>
      </c>
      <c r="S5" s="24" t="str">
        <f>""</f>
        <v/>
      </c>
      <c r="T5" s="24" t="str">
        <f>""</f>
        <v/>
      </c>
      <c r="U5" s="24" t="str">
        <f>""</f>
        <v/>
      </c>
      <c r="V5" s="24" t="str">
        <f>""</f>
        <v/>
      </c>
      <c r="W5" s="24" t="str">
        <f>""</f>
        <v/>
      </c>
      <c r="X5" s="24" t="str">
        <f>""</f>
        <v/>
      </c>
      <c r="Y5" s="24" t="str">
        <f>""</f>
        <v/>
      </c>
      <c r="Z5" s="24" t="str">
        <f>""</f>
        <v/>
      </c>
      <c r="AA5" s="24" t="str">
        <f>""</f>
        <v/>
      </c>
      <c r="AB5" s="24" t="str">
        <f>""</f>
        <v/>
      </c>
      <c r="AC5" s="24" t="str">
        <f>""</f>
        <v/>
      </c>
      <c r="AD5" s="24" t="str">
        <f>""</f>
        <v/>
      </c>
      <c r="AE5" s="24" t="str">
        <f>""</f>
        <v/>
      </c>
      <c r="AF5" s="24" t="str">
        <f>""</f>
        <v/>
      </c>
      <c r="AG5" s="24" t="str">
        <f>""</f>
        <v/>
      </c>
      <c r="AH5" s="24" t="str">
        <f>""</f>
        <v/>
      </c>
      <c r="AI5" s="24" t="str">
        <f>""</f>
        <v/>
      </c>
      <c r="AJ5" s="24" t="str">
        <f>""</f>
        <v/>
      </c>
      <c r="AK5" s="24" t="str">
        <f>""</f>
        <v/>
      </c>
      <c r="AL5" s="24" t="str">
        <f>""</f>
        <v/>
      </c>
      <c r="AM5" s="24" t="str">
        <f>""</f>
        <v/>
      </c>
      <c r="AN5" s="24" t="str">
        <f>""</f>
        <v/>
      </c>
      <c r="AO5" s="24" t="str">
        <f>""</f>
        <v/>
      </c>
      <c r="AP5" s="24" t="str">
        <f>""</f>
        <v/>
      </c>
      <c r="AQ5" s="24" t="str">
        <f>""</f>
        <v/>
      </c>
      <c r="AR5" s="24" t="str">
        <f>""</f>
        <v/>
      </c>
      <c r="AS5" s="24" t="str">
        <f>""</f>
        <v/>
      </c>
      <c r="AT5" s="24" t="str">
        <f>""</f>
        <v/>
      </c>
      <c r="AU5" s="24" t="str">
        <f>""</f>
        <v/>
      </c>
      <c r="AV5" s="24" t="str">
        <f>""</f>
        <v/>
      </c>
      <c r="AW5" s="24" t="str">
        <f>""</f>
        <v/>
      </c>
      <c r="AX5" s="24" t="str">
        <f>""</f>
        <v/>
      </c>
    </row>
    <row r="6" spans="1:50" s="22" customFormat="1" ht="15" customHeight="1" x14ac:dyDescent="0.1">
      <c r="A6" s="24" t="str">
        <f>""</f>
        <v/>
      </c>
      <c r="B6" s="24" t="str">
        <f>""</f>
        <v/>
      </c>
      <c r="C6" s="24" t="str">
        <f>""</f>
        <v/>
      </c>
      <c r="D6" s="24" t="str">
        <f>""</f>
        <v/>
      </c>
      <c r="E6" s="24" t="str">
        <f>""</f>
        <v/>
      </c>
      <c r="F6" s="24" t="str">
        <f>""</f>
        <v/>
      </c>
      <c r="G6" s="24" t="str">
        <f>""</f>
        <v/>
      </c>
      <c r="H6" s="24" t="str">
        <f>""</f>
        <v/>
      </c>
      <c r="I6" s="24" t="str">
        <f>""</f>
        <v/>
      </c>
      <c r="J6" s="24" t="str">
        <f>""</f>
        <v/>
      </c>
      <c r="K6" s="24" t="str">
        <f>""</f>
        <v/>
      </c>
      <c r="L6" s="24" t="str">
        <f>""</f>
        <v/>
      </c>
      <c r="M6" s="24" t="str">
        <f>""</f>
        <v/>
      </c>
      <c r="N6" s="24" t="str">
        <f>""</f>
        <v/>
      </c>
      <c r="O6" s="24" t="str">
        <f>""</f>
        <v/>
      </c>
      <c r="P6" s="24" t="str">
        <f>""</f>
        <v/>
      </c>
      <c r="Q6" s="24" t="str">
        <f>""</f>
        <v/>
      </c>
      <c r="R6" s="24" t="str">
        <f>""</f>
        <v/>
      </c>
      <c r="S6" s="24" t="str">
        <f>""</f>
        <v/>
      </c>
      <c r="T6" s="24" t="str">
        <f>""</f>
        <v/>
      </c>
      <c r="U6" s="24" t="str">
        <f>""</f>
        <v/>
      </c>
      <c r="V6" s="24" t="str">
        <f>""</f>
        <v/>
      </c>
      <c r="W6" s="24" t="str">
        <f>""</f>
        <v/>
      </c>
      <c r="X6" s="24" t="str">
        <f>""</f>
        <v/>
      </c>
      <c r="Y6" s="24" t="str">
        <f>""</f>
        <v/>
      </c>
      <c r="Z6" s="24" t="str">
        <f>""</f>
        <v/>
      </c>
      <c r="AA6" s="24" t="str">
        <f>""</f>
        <v/>
      </c>
      <c r="AB6" s="24" t="str">
        <f>""</f>
        <v/>
      </c>
      <c r="AC6" s="24" t="str">
        <f>""</f>
        <v/>
      </c>
      <c r="AD6" s="24" t="str">
        <f>""</f>
        <v/>
      </c>
      <c r="AE6" s="24" t="str">
        <f>""</f>
        <v/>
      </c>
      <c r="AF6" s="24" t="str">
        <f>""</f>
        <v/>
      </c>
      <c r="AG6" s="24" t="str">
        <f>""</f>
        <v/>
      </c>
      <c r="AH6" s="24" t="str">
        <f>""</f>
        <v/>
      </c>
      <c r="AI6" s="24" t="str">
        <f>""</f>
        <v/>
      </c>
      <c r="AJ6" s="24" t="str">
        <f>""</f>
        <v/>
      </c>
      <c r="AK6" s="24" t="str">
        <f>""</f>
        <v/>
      </c>
      <c r="AL6" s="24" t="str">
        <f>""</f>
        <v/>
      </c>
      <c r="AM6" s="24" t="str">
        <f>""</f>
        <v/>
      </c>
      <c r="AN6" s="24" t="str">
        <f>""</f>
        <v/>
      </c>
      <c r="AO6" s="24" t="str">
        <f>""</f>
        <v/>
      </c>
      <c r="AP6" s="24" t="str">
        <f>""</f>
        <v/>
      </c>
      <c r="AQ6" s="24" t="str">
        <f>""</f>
        <v/>
      </c>
      <c r="AR6" s="24" t="str">
        <f>""</f>
        <v/>
      </c>
      <c r="AS6" s="24" t="str">
        <f>""</f>
        <v/>
      </c>
      <c r="AT6" s="24" t="str">
        <f>""</f>
        <v/>
      </c>
      <c r="AU6" s="24" t="str">
        <f>""</f>
        <v/>
      </c>
      <c r="AV6" s="24" t="str">
        <f>""</f>
        <v/>
      </c>
      <c r="AW6" s="24" t="str">
        <f>""</f>
        <v/>
      </c>
      <c r="AX6" s="24" t="str">
        <f>""</f>
        <v/>
      </c>
    </row>
    <row r="7" spans="1:50" s="22" customFormat="1" ht="26.25" customHeight="1" x14ac:dyDescent="0.1">
      <c r="A7" s="23" t="s">
        <v>19</v>
      </c>
      <c r="B7" s="23" t="s">
        <v>24</v>
      </c>
      <c r="C7" s="23" t="s">
        <v>23</v>
      </c>
      <c r="D7" s="23" t="s">
        <v>25</v>
      </c>
      <c r="E7" s="23" t="s">
        <v>9</v>
      </c>
      <c r="F7" s="23" t="s">
        <v>26</v>
      </c>
      <c r="G7" s="23" t="s">
        <v>28</v>
      </c>
      <c r="H7" s="23" t="s">
        <v>27</v>
      </c>
      <c r="I7" s="23" t="s">
        <v>29</v>
      </c>
      <c r="J7" s="23" t="s">
        <v>31</v>
      </c>
      <c r="K7" s="23" t="s">
        <v>30</v>
      </c>
      <c r="L7" s="23" t="s">
        <v>32</v>
      </c>
      <c r="M7" s="23" t="s">
        <v>13</v>
      </c>
      <c r="N7" s="23" t="s">
        <v>33</v>
      </c>
      <c r="O7" s="23" t="s">
        <v>35</v>
      </c>
      <c r="P7" s="23" t="s">
        <v>34</v>
      </c>
      <c r="Q7" s="23" t="s">
        <v>20</v>
      </c>
      <c r="R7" s="23" t="s">
        <v>36</v>
      </c>
      <c r="S7" s="23" t="s">
        <v>38</v>
      </c>
      <c r="T7" s="23" t="s">
        <v>37</v>
      </c>
      <c r="U7" s="23" t="s">
        <v>10</v>
      </c>
      <c r="V7" s="23" t="s">
        <v>39</v>
      </c>
      <c r="W7" s="23" t="s">
        <v>40</v>
      </c>
      <c r="X7" s="23" t="s">
        <v>42</v>
      </c>
      <c r="Y7" s="23" t="s">
        <v>22</v>
      </c>
      <c r="Z7" s="23" t="s">
        <v>41</v>
      </c>
      <c r="AA7" s="23" t="s">
        <v>43</v>
      </c>
      <c r="AB7" s="23" t="s">
        <v>45</v>
      </c>
      <c r="AC7" s="23" t="s">
        <v>12</v>
      </c>
      <c r="AD7" s="23" t="s">
        <v>44</v>
      </c>
      <c r="AE7" s="23" t="s">
        <v>46</v>
      </c>
      <c r="AF7" s="23" t="s">
        <v>47</v>
      </c>
      <c r="AG7" s="23" t="s">
        <v>16</v>
      </c>
      <c r="AH7" s="23" t="s">
        <v>49</v>
      </c>
      <c r="AI7" s="23" t="s">
        <v>48</v>
      </c>
      <c r="AJ7" s="23" t="s">
        <v>50</v>
      </c>
      <c r="AK7" s="23" t="s">
        <v>11</v>
      </c>
      <c r="AL7" s="23" t="s">
        <v>52</v>
      </c>
      <c r="AM7" s="23" t="s">
        <v>51</v>
      </c>
      <c r="AN7" s="23" t="s">
        <v>53</v>
      </c>
      <c r="AO7" s="23" t="s">
        <v>54</v>
      </c>
      <c r="AP7" s="23" t="s">
        <v>56</v>
      </c>
      <c r="AQ7" s="23" t="s">
        <v>55</v>
      </c>
      <c r="AR7" s="23" t="s">
        <v>57</v>
      </c>
      <c r="AS7" s="23" t="s">
        <v>14</v>
      </c>
      <c r="AT7" s="23" t="s">
        <v>59</v>
      </c>
      <c r="AU7" s="23" t="s">
        <v>58</v>
      </c>
      <c r="AV7" s="23" t="s">
        <v>60</v>
      </c>
      <c r="AW7" s="23" t="s">
        <v>21</v>
      </c>
      <c r="AX7" s="23" t="s">
        <v>61</v>
      </c>
    </row>
    <row r="8" spans="1:50" ht="15" customHeight="1" x14ac:dyDescent="0.1">
      <c r="A8" s="1">
        <v>19635</v>
      </c>
      <c r="B8" s="2" t="s">
        <v>0</v>
      </c>
      <c r="C8" s="2" t="s">
        <v>1</v>
      </c>
      <c r="I8" s="3">
        <v>0</v>
      </c>
      <c r="J8" s="3">
        <v>0</v>
      </c>
      <c r="L8" s="4">
        <v>0</v>
      </c>
      <c r="AH8" s="5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P8" s="6">
        <v>0</v>
      </c>
      <c r="AU8" s="2" t="s">
        <v>3</v>
      </c>
      <c r="AV8" s="2" t="s">
        <v>4</v>
      </c>
    </row>
    <row r="9" spans="1:50" ht="15" customHeight="1" x14ac:dyDescent="0.1">
      <c r="A9" s="1">
        <v>15669</v>
      </c>
      <c r="B9" s="2" t="s">
        <v>5</v>
      </c>
      <c r="C9" s="2" t="s">
        <v>6</v>
      </c>
      <c r="D9" s="6">
        <v>39</v>
      </c>
      <c r="E9" s="6">
        <v>10</v>
      </c>
      <c r="F9" s="6">
        <v>25</v>
      </c>
      <c r="G9" s="6">
        <v>25</v>
      </c>
      <c r="H9" s="6">
        <v>24</v>
      </c>
      <c r="I9" s="3">
        <v>0</v>
      </c>
      <c r="J9" s="3">
        <v>0</v>
      </c>
      <c r="K9" s="6">
        <v>0</v>
      </c>
      <c r="L9" s="4">
        <v>25</v>
      </c>
      <c r="M9" s="5">
        <v>918.24</v>
      </c>
      <c r="N9" s="5">
        <v>867.63599999999997</v>
      </c>
      <c r="O9" s="5">
        <v>41.316000000000003</v>
      </c>
      <c r="P9" s="5">
        <v>964.95539999999994</v>
      </c>
      <c r="Q9" s="5">
        <v>919.00519999999995</v>
      </c>
      <c r="R9" s="5">
        <v>45.950199999999995</v>
      </c>
      <c r="S9" s="5">
        <v>956.49999999999989</v>
      </c>
      <c r="T9" s="5">
        <v>0</v>
      </c>
      <c r="U9" s="6">
        <v>0</v>
      </c>
      <c r="V9" s="6">
        <v>6</v>
      </c>
      <c r="W9" s="5">
        <v>144.60000005722046</v>
      </c>
      <c r="X9" s="5">
        <v>137.72</v>
      </c>
      <c r="Y9" s="5">
        <v>6.8800000572204585</v>
      </c>
      <c r="Z9" s="6">
        <v>0</v>
      </c>
      <c r="AA9" s="6">
        <v>0</v>
      </c>
      <c r="AB9" s="6">
        <v>0</v>
      </c>
      <c r="AC9" s="5">
        <v>25.821666666666669</v>
      </c>
      <c r="AD9" s="5">
        <v>137.72</v>
      </c>
      <c r="AE9" s="5">
        <v>6.8800000572204585</v>
      </c>
      <c r="AF9" s="5">
        <v>919.00519999999995</v>
      </c>
      <c r="AG9" s="5">
        <v>45.950199999999995</v>
      </c>
      <c r="AH9" s="5">
        <v>0</v>
      </c>
      <c r="AI9" s="4">
        <v>918.24</v>
      </c>
      <c r="AJ9" s="4">
        <v>45.911999999999999</v>
      </c>
      <c r="AK9" s="4">
        <v>964.15200000000004</v>
      </c>
      <c r="AL9" s="4">
        <v>36</v>
      </c>
      <c r="AM9" s="4">
        <v>1293.1880000000001</v>
      </c>
      <c r="AN9" s="4">
        <v>1357.8474000000001</v>
      </c>
      <c r="AO9" s="6">
        <v>0</v>
      </c>
      <c r="AP9" s="6">
        <v>25</v>
      </c>
      <c r="AQ9" s="6">
        <v>0</v>
      </c>
      <c r="AR9" s="5">
        <v>0</v>
      </c>
      <c r="AU9" s="2" t="s">
        <v>3</v>
      </c>
      <c r="AV9" s="2" t="s">
        <v>4</v>
      </c>
    </row>
    <row r="10" spans="1:50" ht="15" customHeight="1" x14ac:dyDescent="0.1">
      <c r="A10" s="1">
        <v>24554</v>
      </c>
      <c r="B10" s="2" t="s">
        <v>17</v>
      </c>
      <c r="C10" s="2" t="s">
        <v>18</v>
      </c>
      <c r="D10" s="6">
        <v>40</v>
      </c>
      <c r="E10" s="6">
        <v>0</v>
      </c>
      <c r="F10" s="6">
        <v>1</v>
      </c>
      <c r="G10" s="6">
        <v>1</v>
      </c>
      <c r="H10" s="6">
        <v>39</v>
      </c>
      <c r="I10" s="3">
        <v>0</v>
      </c>
      <c r="J10" s="3">
        <v>0</v>
      </c>
      <c r="K10" s="6">
        <v>0</v>
      </c>
      <c r="L10" s="4">
        <v>30</v>
      </c>
      <c r="M10" s="5">
        <v>1347.8400000000001</v>
      </c>
      <c r="N10" s="5">
        <v>1273.5450000000001</v>
      </c>
      <c r="O10" s="5">
        <v>60.64500000000001</v>
      </c>
      <c r="P10" s="5">
        <v>36.288000000000004</v>
      </c>
      <c r="Q10" s="5">
        <v>34.56</v>
      </c>
      <c r="R10" s="5">
        <v>1.728</v>
      </c>
      <c r="S10" s="5">
        <v>34.56</v>
      </c>
      <c r="T10" s="5">
        <v>0</v>
      </c>
      <c r="U10" s="6">
        <v>0</v>
      </c>
      <c r="V10" s="6">
        <v>0</v>
      </c>
      <c r="W10" s="5">
        <v>0</v>
      </c>
      <c r="X10" s="5">
        <v>0</v>
      </c>
      <c r="Y10" s="5">
        <v>0</v>
      </c>
      <c r="Z10" s="6">
        <v>0</v>
      </c>
      <c r="AA10" s="6">
        <v>0</v>
      </c>
      <c r="AB10" s="6">
        <v>0</v>
      </c>
      <c r="AC10" s="5">
        <v>31.1</v>
      </c>
      <c r="AD10" s="5">
        <v>0</v>
      </c>
      <c r="AE10" s="5">
        <v>0</v>
      </c>
      <c r="AF10" s="5">
        <v>34.56</v>
      </c>
      <c r="AG10" s="5">
        <v>1.728</v>
      </c>
      <c r="AH10" s="5">
        <v>0</v>
      </c>
      <c r="AI10" s="4">
        <v>995.32799999999997</v>
      </c>
      <c r="AJ10" s="4">
        <v>49.766399999999997</v>
      </c>
      <c r="AK10" s="4">
        <v>1045.0944</v>
      </c>
      <c r="AL10" s="4">
        <v>13</v>
      </c>
      <c r="AM10" s="4">
        <v>429.84000000000003</v>
      </c>
      <c r="AN10" s="4">
        <v>451.33200000000005</v>
      </c>
      <c r="AO10" s="6">
        <v>0</v>
      </c>
      <c r="AP10" s="6">
        <v>1</v>
      </c>
      <c r="AQ10" s="6">
        <v>0</v>
      </c>
      <c r="AR10" s="5">
        <v>0</v>
      </c>
      <c r="AU10" s="2" t="s">
        <v>3</v>
      </c>
      <c r="AV10" s="2" t="s">
        <v>4</v>
      </c>
    </row>
    <row r="11" spans="1:50" ht="15" customHeight="1" x14ac:dyDescent="0.1">
      <c r="A11" s="1">
        <v>23120</v>
      </c>
      <c r="B11" s="2" t="s">
        <v>62</v>
      </c>
      <c r="C11" s="2" t="s">
        <v>18</v>
      </c>
      <c r="I11" s="3">
        <v>0</v>
      </c>
      <c r="J11" s="3">
        <v>0</v>
      </c>
      <c r="L11" s="4">
        <v>0</v>
      </c>
      <c r="AH11" s="5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P11" s="6">
        <v>0</v>
      </c>
      <c r="AU11" s="2" t="s">
        <v>3</v>
      </c>
      <c r="AV11" s="2" t="s">
        <v>4</v>
      </c>
    </row>
    <row r="12" spans="1:50" ht="15" customHeight="1" x14ac:dyDescent="0.1">
      <c r="A12" s="1">
        <v>22297</v>
      </c>
      <c r="B12" s="2" t="s">
        <v>63</v>
      </c>
      <c r="C12" s="2" t="s">
        <v>18</v>
      </c>
      <c r="D12" s="6">
        <v>100</v>
      </c>
      <c r="E12" s="6">
        <v>0</v>
      </c>
      <c r="F12" s="6">
        <v>0</v>
      </c>
      <c r="H12" s="6">
        <v>100</v>
      </c>
      <c r="I12" s="3">
        <v>0</v>
      </c>
      <c r="J12" s="3">
        <v>0</v>
      </c>
      <c r="K12" s="6">
        <v>0</v>
      </c>
      <c r="L12" s="4">
        <v>0</v>
      </c>
      <c r="M12" s="5">
        <v>3863.0000000000005</v>
      </c>
      <c r="N12" s="5">
        <v>3650.8500000000004</v>
      </c>
      <c r="O12" s="5">
        <v>173.85000000000002</v>
      </c>
      <c r="P12" s="5">
        <v>0</v>
      </c>
      <c r="Q12" s="5">
        <v>0</v>
      </c>
      <c r="R12" s="5">
        <v>0</v>
      </c>
      <c r="T12" s="5">
        <v>0</v>
      </c>
      <c r="U12" s="6">
        <v>0</v>
      </c>
      <c r="V12" s="6">
        <v>0</v>
      </c>
      <c r="W12" s="5">
        <v>0</v>
      </c>
      <c r="X12" s="5">
        <v>0</v>
      </c>
      <c r="Y12" s="5">
        <v>0</v>
      </c>
      <c r="Z12" s="6">
        <v>0</v>
      </c>
      <c r="AA12" s="6">
        <v>0</v>
      </c>
      <c r="AB12" s="6">
        <v>0</v>
      </c>
      <c r="AC12" s="5">
        <v>34.770000000000003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P12" s="6">
        <v>0</v>
      </c>
      <c r="AQ12" s="6">
        <v>0</v>
      </c>
      <c r="AR12" s="5">
        <v>0</v>
      </c>
      <c r="AU12" s="2" t="s">
        <v>3</v>
      </c>
      <c r="AV12" s="2" t="s">
        <v>4</v>
      </c>
    </row>
    <row r="13" spans="1:50" ht="15" customHeight="1" x14ac:dyDescent="0.1">
      <c r="A13" s="1">
        <v>17114</v>
      </c>
      <c r="B13" s="2" t="s">
        <v>64</v>
      </c>
      <c r="C13" s="2" t="s">
        <v>18</v>
      </c>
      <c r="I13" s="3">
        <v>0</v>
      </c>
      <c r="J13" s="3">
        <v>0</v>
      </c>
      <c r="L13" s="4">
        <v>0</v>
      </c>
      <c r="AH13" s="5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P13" s="6">
        <v>0</v>
      </c>
      <c r="AU13" s="2" t="s">
        <v>3</v>
      </c>
      <c r="AV13" s="2" t="s">
        <v>4</v>
      </c>
    </row>
    <row r="14" spans="1:50" ht="15" customHeight="1" x14ac:dyDescent="0.1">
      <c r="A14" s="1">
        <v>22659</v>
      </c>
      <c r="B14" s="2" t="s">
        <v>65</v>
      </c>
      <c r="C14" s="2" t="s">
        <v>18</v>
      </c>
      <c r="D14" s="6">
        <v>1</v>
      </c>
      <c r="E14" s="6">
        <v>0</v>
      </c>
      <c r="F14" s="6">
        <v>0</v>
      </c>
      <c r="H14" s="6">
        <v>1</v>
      </c>
      <c r="I14" s="3">
        <v>0</v>
      </c>
      <c r="J14" s="3">
        <v>0</v>
      </c>
      <c r="K14" s="6">
        <v>0</v>
      </c>
      <c r="L14" s="4">
        <v>0</v>
      </c>
      <c r="M14" s="5">
        <v>162.93</v>
      </c>
      <c r="N14" s="5">
        <v>153.97199999999998</v>
      </c>
      <c r="O14" s="5">
        <v>7.331999999999999</v>
      </c>
      <c r="P14" s="5">
        <v>0</v>
      </c>
      <c r="Q14" s="5">
        <v>0</v>
      </c>
      <c r="R14" s="5">
        <v>0</v>
      </c>
      <c r="T14" s="5">
        <v>0</v>
      </c>
      <c r="U14" s="6">
        <v>0</v>
      </c>
      <c r="V14" s="6">
        <v>0</v>
      </c>
      <c r="W14" s="5">
        <v>0</v>
      </c>
      <c r="X14" s="5">
        <v>0</v>
      </c>
      <c r="Y14" s="5">
        <v>0</v>
      </c>
      <c r="Z14" s="6">
        <v>0</v>
      </c>
      <c r="AA14" s="6">
        <v>0</v>
      </c>
      <c r="AB14" s="6">
        <v>0</v>
      </c>
      <c r="AC14" s="5">
        <v>43.99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P14" s="6">
        <v>0</v>
      </c>
      <c r="AQ14" s="6">
        <v>0</v>
      </c>
      <c r="AR14" s="5">
        <v>0</v>
      </c>
      <c r="AU14" s="2" t="s">
        <v>3</v>
      </c>
      <c r="AV14" s="2" t="s">
        <v>4</v>
      </c>
    </row>
    <row r="15" spans="1:50" ht="15" customHeight="1" x14ac:dyDescent="0.1">
      <c r="A15" s="1">
        <v>31035</v>
      </c>
      <c r="B15" s="2" t="s">
        <v>66</v>
      </c>
      <c r="C15" s="2" t="s">
        <v>67</v>
      </c>
      <c r="D15" s="6">
        <v>24</v>
      </c>
      <c r="E15" s="6">
        <v>50</v>
      </c>
      <c r="F15" s="6">
        <v>45</v>
      </c>
      <c r="G15" s="6">
        <v>45</v>
      </c>
      <c r="H15" s="6">
        <v>29</v>
      </c>
      <c r="I15" s="3">
        <v>0</v>
      </c>
      <c r="J15" s="3">
        <v>0</v>
      </c>
      <c r="K15" s="6">
        <v>0</v>
      </c>
      <c r="L15" s="4">
        <v>26</v>
      </c>
      <c r="M15" s="5">
        <v>7779.83</v>
      </c>
      <c r="N15" s="5">
        <v>7351.848</v>
      </c>
      <c r="O15" s="5">
        <v>350.08799999999997</v>
      </c>
      <c r="P15" s="5">
        <v>11338.324099999993</v>
      </c>
      <c r="Q15" s="5">
        <v>10798.404099999992</v>
      </c>
      <c r="R15" s="5">
        <v>539.91999999999996</v>
      </c>
      <c r="S15" s="5">
        <v>10999.069999999998</v>
      </c>
      <c r="T15" s="5">
        <v>0</v>
      </c>
      <c r="U15" s="6">
        <v>0</v>
      </c>
      <c r="V15" s="6">
        <v>8</v>
      </c>
      <c r="W15" s="5">
        <v>10647.50000213623</v>
      </c>
      <c r="X15" s="5">
        <v>10140.48</v>
      </c>
      <c r="Y15" s="5">
        <v>507.02000213623046</v>
      </c>
      <c r="Z15" s="6">
        <v>0</v>
      </c>
      <c r="AA15" s="6">
        <v>0</v>
      </c>
      <c r="AB15" s="6">
        <v>0</v>
      </c>
      <c r="AC15" s="5">
        <v>221.45896551724135</v>
      </c>
      <c r="AD15" s="5">
        <v>10140.48</v>
      </c>
      <c r="AE15" s="5">
        <v>507.02000213623046</v>
      </c>
      <c r="AF15" s="5">
        <v>10798.404099999992</v>
      </c>
      <c r="AG15" s="5">
        <v>539.91999999999996</v>
      </c>
      <c r="AH15" s="5">
        <v>0</v>
      </c>
      <c r="AI15" s="4">
        <v>6170.7974999999988</v>
      </c>
      <c r="AJ15" s="4">
        <v>308.53980000000001</v>
      </c>
      <c r="AK15" s="4">
        <v>6479.3372999999992</v>
      </c>
      <c r="AL15" s="4">
        <v>15</v>
      </c>
      <c r="AM15" s="4">
        <v>3881.3305</v>
      </c>
      <c r="AN15" s="4">
        <v>4075.3969000000002</v>
      </c>
      <c r="AO15" s="6">
        <v>0</v>
      </c>
      <c r="AP15" s="6">
        <v>45</v>
      </c>
      <c r="AQ15" s="6">
        <v>0</v>
      </c>
      <c r="AR15" s="5">
        <v>0</v>
      </c>
      <c r="AU15" s="2" t="s">
        <v>3</v>
      </c>
      <c r="AV15" s="2" t="s">
        <v>4</v>
      </c>
    </row>
    <row r="16" spans="1:50" ht="15" customHeight="1" x14ac:dyDescent="0.1">
      <c r="A16" s="1">
        <v>22672</v>
      </c>
      <c r="B16" s="2" t="s">
        <v>68</v>
      </c>
      <c r="C16" s="2" t="s">
        <v>67</v>
      </c>
      <c r="D16" s="6">
        <v>12</v>
      </c>
      <c r="E16" s="6">
        <v>0</v>
      </c>
      <c r="F16" s="6">
        <v>1</v>
      </c>
      <c r="G16" s="6">
        <v>0</v>
      </c>
      <c r="H16" s="6">
        <v>11</v>
      </c>
      <c r="I16" s="3">
        <v>0</v>
      </c>
      <c r="J16" s="3">
        <v>0</v>
      </c>
      <c r="K16" s="6">
        <v>0</v>
      </c>
      <c r="L16" s="4">
        <v>6</v>
      </c>
      <c r="M16" s="5">
        <v>3111.02</v>
      </c>
      <c r="N16" s="5">
        <v>2939.9369999999999</v>
      </c>
      <c r="O16" s="5">
        <v>139.99699999999999</v>
      </c>
      <c r="P16" s="5">
        <v>26.130500000000019</v>
      </c>
      <c r="Q16" s="5">
        <v>24.888500000000022</v>
      </c>
      <c r="R16" s="5">
        <v>1.2419999999999991</v>
      </c>
      <c r="S16" s="5">
        <v>25.819999999999993</v>
      </c>
      <c r="T16" s="5">
        <v>0</v>
      </c>
      <c r="U16" s="6">
        <v>-1</v>
      </c>
      <c r="V16" s="6">
        <v>0</v>
      </c>
      <c r="W16" s="5">
        <v>0</v>
      </c>
      <c r="X16" s="5">
        <v>0</v>
      </c>
      <c r="Y16" s="5">
        <v>0</v>
      </c>
      <c r="Z16" s="6">
        <v>0</v>
      </c>
      <c r="AA16" s="6">
        <v>0</v>
      </c>
      <c r="AB16" s="6">
        <v>-1</v>
      </c>
      <c r="AC16" s="5">
        <v>254.54</v>
      </c>
      <c r="AD16" s="5">
        <v>0</v>
      </c>
      <c r="AE16" s="5">
        <v>0</v>
      </c>
      <c r="AF16" s="5">
        <v>272.63850000000002</v>
      </c>
      <c r="AG16" s="5">
        <v>13.632</v>
      </c>
      <c r="AH16" s="5">
        <v>0</v>
      </c>
      <c r="AI16" s="4">
        <v>1629.0432000000001</v>
      </c>
      <c r="AJ16" s="4">
        <v>81.452200000000005</v>
      </c>
      <c r="AK16" s="4">
        <v>1710.4954</v>
      </c>
      <c r="AL16" s="4">
        <v>2</v>
      </c>
      <c r="AM16" s="4">
        <v>543.01440000000002</v>
      </c>
      <c r="AN16" s="4">
        <v>570.16520000000003</v>
      </c>
      <c r="AO16" s="6">
        <v>0</v>
      </c>
      <c r="AP16" s="6">
        <v>0</v>
      </c>
      <c r="AQ16" s="6">
        <v>0</v>
      </c>
      <c r="AR16" s="5">
        <v>0</v>
      </c>
      <c r="AU16" s="2" t="s">
        <v>3</v>
      </c>
      <c r="AV16" s="2" t="s">
        <v>4</v>
      </c>
    </row>
    <row r="17" spans="1:48" ht="15" customHeight="1" x14ac:dyDescent="0.1">
      <c r="A17" s="1">
        <v>22664</v>
      </c>
      <c r="B17" s="2" t="s">
        <v>69</v>
      </c>
      <c r="C17" s="2" t="s">
        <v>18</v>
      </c>
      <c r="I17" s="3">
        <v>0</v>
      </c>
      <c r="J17" s="3">
        <v>0</v>
      </c>
      <c r="L17" s="4">
        <v>0</v>
      </c>
      <c r="AH17" s="5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P17" s="6">
        <v>0</v>
      </c>
      <c r="AU17" s="2" t="s">
        <v>3</v>
      </c>
      <c r="AV17" s="2" t="s">
        <v>4</v>
      </c>
    </row>
    <row r="18" spans="1:48" ht="15" customHeight="1" x14ac:dyDescent="0.1">
      <c r="A18" s="1">
        <v>25027</v>
      </c>
      <c r="B18" s="2" t="s">
        <v>70</v>
      </c>
      <c r="C18" s="2" t="s">
        <v>71</v>
      </c>
      <c r="I18" s="3">
        <v>0</v>
      </c>
      <c r="J18" s="3">
        <v>0</v>
      </c>
      <c r="L18" s="4">
        <v>0</v>
      </c>
      <c r="AH18" s="5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P18" s="6">
        <v>0</v>
      </c>
      <c r="AU18" s="2" t="s">
        <v>3</v>
      </c>
      <c r="AV18" s="2" t="s">
        <v>4</v>
      </c>
    </row>
    <row r="19" spans="1:48" ht="15" customHeight="1" x14ac:dyDescent="0.1">
      <c r="A19" s="1">
        <v>20233</v>
      </c>
      <c r="B19" s="2" t="s">
        <v>72</v>
      </c>
      <c r="C19" s="2" t="s">
        <v>18</v>
      </c>
      <c r="D19" s="6">
        <v>16</v>
      </c>
      <c r="E19" s="6">
        <v>10</v>
      </c>
      <c r="F19" s="6">
        <v>11</v>
      </c>
      <c r="G19" s="6">
        <v>11</v>
      </c>
      <c r="H19" s="6">
        <v>15</v>
      </c>
      <c r="I19" s="3">
        <v>0</v>
      </c>
      <c r="J19" s="3">
        <v>0</v>
      </c>
      <c r="K19" s="6">
        <v>0</v>
      </c>
      <c r="L19" s="4">
        <v>0</v>
      </c>
      <c r="M19" s="5">
        <v>2950.8</v>
      </c>
      <c r="N19" s="5">
        <v>2788.5374999999999</v>
      </c>
      <c r="O19" s="5">
        <v>132.78750000000002</v>
      </c>
      <c r="P19" s="5">
        <v>2189.4935999999998</v>
      </c>
      <c r="Q19" s="5">
        <v>2085.232</v>
      </c>
      <c r="R19" s="5">
        <v>104.2616</v>
      </c>
      <c r="S19" s="5">
        <v>2163.92</v>
      </c>
      <c r="T19" s="5">
        <v>0</v>
      </c>
      <c r="U19" s="6">
        <v>0</v>
      </c>
      <c r="V19" s="6">
        <v>0</v>
      </c>
      <c r="W19" s="5">
        <v>1859.0199983215332</v>
      </c>
      <c r="X19" s="5">
        <v>1770.5</v>
      </c>
      <c r="Y19" s="5">
        <v>88.519998321533194</v>
      </c>
      <c r="Z19" s="6">
        <v>0</v>
      </c>
      <c r="AA19" s="6">
        <v>0</v>
      </c>
      <c r="AB19" s="6">
        <v>0</v>
      </c>
      <c r="AC19" s="5">
        <v>177.05</v>
      </c>
      <c r="AD19" s="5">
        <v>1770.5</v>
      </c>
      <c r="AE19" s="5">
        <v>88.519998321533194</v>
      </c>
      <c r="AF19" s="5">
        <v>2085.232</v>
      </c>
      <c r="AG19" s="5">
        <v>104.2616</v>
      </c>
      <c r="AH19" s="5">
        <v>0</v>
      </c>
      <c r="AI19" s="4">
        <v>0</v>
      </c>
      <c r="AJ19" s="4">
        <v>0</v>
      </c>
      <c r="AK19" s="4">
        <v>0</v>
      </c>
      <c r="AL19" s="4">
        <v>16</v>
      </c>
      <c r="AM19" s="4">
        <v>2486.5407999999993</v>
      </c>
      <c r="AN19" s="4">
        <v>2610.8677999999991</v>
      </c>
      <c r="AO19" s="6">
        <v>0</v>
      </c>
      <c r="AP19" s="6">
        <v>11</v>
      </c>
      <c r="AQ19" s="6">
        <v>0</v>
      </c>
      <c r="AR19" s="5">
        <v>0</v>
      </c>
      <c r="AU19" s="2" t="s">
        <v>3</v>
      </c>
      <c r="AV19" s="2" t="s">
        <v>4</v>
      </c>
    </row>
    <row r="20" spans="1:48" ht="15" customHeight="1" x14ac:dyDescent="0.1">
      <c r="A20" s="1">
        <v>18206</v>
      </c>
      <c r="B20" s="2" t="s">
        <v>73</v>
      </c>
      <c r="C20" s="2" t="s">
        <v>18</v>
      </c>
      <c r="I20" s="3">
        <v>0</v>
      </c>
      <c r="J20" s="3">
        <v>0</v>
      </c>
      <c r="L20" s="4">
        <v>0</v>
      </c>
      <c r="AH20" s="5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P20" s="6">
        <v>0</v>
      </c>
      <c r="AU20" s="2" t="s">
        <v>3</v>
      </c>
      <c r="AV20" s="2" t="s">
        <v>4</v>
      </c>
    </row>
    <row r="21" spans="1:48" ht="15" customHeight="1" x14ac:dyDescent="0.1">
      <c r="A21" s="1">
        <v>12068</v>
      </c>
      <c r="B21" s="2" t="s">
        <v>74</v>
      </c>
      <c r="C21" s="2" t="s">
        <v>18</v>
      </c>
      <c r="D21" s="6">
        <v>24</v>
      </c>
      <c r="E21" s="6">
        <v>0</v>
      </c>
      <c r="F21" s="6">
        <v>10</v>
      </c>
      <c r="G21" s="6">
        <v>10</v>
      </c>
      <c r="H21" s="6">
        <v>14</v>
      </c>
      <c r="I21" s="3">
        <v>0</v>
      </c>
      <c r="J21" s="3">
        <v>0</v>
      </c>
      <c r="K21" s="6">
        <v>0</v>
      </c>
      <c r="L21" s="4">
        <v>2</v>
      </c>
      <c r="M21" s="5">
        <v>1054</v>
      </c>
      <c r="N21" s="5">
        <v>996.072</v>
      </c>
      <c r="O21" s="5">
        <v>47.432000000000002</v>
      </c>
      <c r="P21" s="5">
        <v>789.83410000000003</v>
      </c>
      <c r="Q21" s="5">
        <v>752.2229000000001</v>
      </c>
      <c r="R21" s="5">
        <v>37.611199999999997</v>
      </c>
      <c r="S21" s="5">
        <v>769.14</v>
      </c>
      <c r="T21" s="5">
        <v>0</v>
      </c>
      <c r="U21" s="6">
        <v>0</v>
      </c>
      <c r="V21" s="6">
        <v>0</v>
      </c>
      <c r="W21" s="5">
        <v>0</v>
      </c>
      <c r="X21" s="5">
        <v>0</v>
      </c>
      <c r="Y21" s="5">
        <v>0</v>
      </c>
      <c r="Z21" s="6">
        <v>0</v>
      </c>
      <c r="AA21" s="6">
        <v>0</v>
      </c>
      <c r="AB21" s="6">
        <v>0</v>
      </c>
      <c r="AC21" s="5">
        <v>67.760000000000005</v>
      </c>
      <c r="AD21" s="5">
        <v>0</v>
      </c>
      <c r="AE21" s="5">
        <v>0</v>
      </c>
      <c r="AF21" s="5">
        <v>752.2229000000001</v>
      </c>
      <c r="AG21" s="5">
        <v>37.611199999999997</v>
      </c>
      <c r="AH21" s="5">
        <v>0</v>
      </c>
      <c r="AI21" s="4">
        <v>156.63999999999999</v>
      </c>
      <c r="AJ21" s="4">
        <v>7.8319999999999999</v>
      </c>
      <c r="AK21" s="4">
        <v>164.47199999999998</v>
      </c>
      <c r="AL21" s="4">
        <v>18</v>
      </c>
      <c r="AM21" s="4">
        <v>1169.7608</v>
      </c>
      <c r="AN21" s="4">
        <v>1228.2488000000001</v>
      </c>
      <c r="AO21" s="6">
        <v>0</v>
      </c>
      <c r="AP21" s="6">
        <v>10</v>
      </c>
      <c r="AQ21" s="6">
        <v>0</v>
      </c>
      <c r="AR21" s="5">
        <v>0</v>
      </c>
      <c r="AU21" s="2" t="s">
        <v>3</v>
      </c>
      <c r="AV21" s="2" t="s">
        <v>4</v>
      </c>
    </row>
    <row r="22" spans="1:48" ht="15" customHeight="1" x14ac:dyDescent="0.1">
      <c r="A22" s="1">
        <v>12069</v>
      </c>
      <c r="B22" s="2" t="s">
        <v>75</v>
      </c>
      <c r="C22" s="2" t="s">
        <v>18</v>
      </c>
      <c r="D22" s="6">
        <v>5</v>
      </c>
      <c r="E22" s="6">
        <v>50</v>
      </c>
      <c r="F22" s="6">
        <v>33</v>
      </c>
      <c r="G22" s="6">
        <v>33</v>
      </c>
      <c r="H22" s="6">
        <v>22</v>
      </c>
      <c r="I22" s="3">
        <v>0</v>
      </c>
      <c r="J22" s="3">
        <v>0</v>
      </c>
      <c r="K22" s="6">
        <v>0</v>
      </c>
      <c r="L22" s="4">
        <v>17</v>
      </c>
      <c r="M22" s="5">
        <v>3003.68</v>
      </c>
      <c r="N22" s="5">
        <v>2851.8</v>
      </c>
      <c r="O22" s="5">
        <v>135.80000000000001</v>
      </c>
      <c r="P22" s="5">
        <v>4746.6741999999995</v>
      </c>
      <c r="Q22" s="5">
        <v>4520.6419999999998</v>
      </c>
      <c r="R22" s="5">
        <v>226.03219999999999</v>
      </c>
      <c r="S22" s="5">
        <v>4576.1099999999997</v>
      </c>
      <c r="T22" s="5">
        <v>0</v>
      </c>
      <c r="U22" s="6">
        <v>0</v>
      </c>
      <c r="V22" s="6">
        <v>0</v>
      </c>
      <c r="W22" s="5">
        <v>6552.0000038146973</v>
      </c>
      <c r="X22" s="5">
        <v>6240</v>
      </c>
      <c r="Y22" s="5">
        <v>312.00000381469727</v>
      </c>
      <c r="Z22" s="6">
        <v>0</v>
      </c>
      <c r="AA22" s="6">
        <v>0</v>
      </c>
      <c r="AB22" s="6">
        <v>0</v>
      </c>
      <c r="AC22" s="5">
        <v>123.45454545454545</v>
      </c>
      <c r="AD22" s="5">
        <v>6240</v>
      </c>
      <c r="AE22" s="5">
        <v>312.00000381469727</v>
      </c>
      <c r="AF22" s="5">
        <v>4520.6419999999998</v>
      </c>
      <c r="AG22" s="5">
        <v>226.03219999999999</v>
      </c>
      <c r="AH22" s="5">
        <v>0</v>
      </c>
      <c r="AI22" s="4">
        <v>2282.2896000000001</v>
      </c>
      <c r="AJ22" s="4">
        <v>114.1146</v>
      </c>
      <c r="AK22" s="4">
        <v>2396.4041999999999</v>
      </c>
      <c r="AL22" s="4">
        <v>16</v>
      </c>
      <c r="AM22" s="4">
        <v>2136.0727000000002</v>
      </c>
      <c r="AN22" s="4">
        <v>2242.8765000000003</v>
      </c>
      <c r="AO22" s="6">
        <v>0</v>
      </c>
      <c r="AP22" s="6">
        <v>33</v>
      </c>
      <c r="AQ22" s="6">
        <v>0</v>
      </c>
      <c r="AR22" s="5">
        <v>0</v>
      </c>
      <c r="AU22" s="2" t="s">
        <v>3</v>
      </c>
      <c r="AV22" s="2" t="s">
        <v>4</v>
      </c>
    </row>
    <row r="23" spans="1:48" ht="15" customHeight="1" x14ac:dyDescent="0.1">
      <c r="A23" s="1">
        <v>16736</v>
      </c>
      <c r="B23" s="2" t="s">
        <v>76</v>
      </c>
      <c r="C23" s="2" t="s">
        <v>18</v>
      </c>
      <c r="D23" s="6">
        <v>7</v>
      </c>
      <c r="E23" s="6">
        <v>70</v>
      </c>
      <c r="F23" s="6">
        <v>18</v>
      </c>
      <c r="G23" s="6">
        <v>18</v>
      </c>
      <c r="H23" s="6">
        <v>59</v>
      </c>
      <c r="I23" s="3">
        <v>0</v>
      </c>
      <c r="J23" s="3">
        <v>0</v>
      </c>
      <c r="K23" s="6">
        <v>0</v>
      </c>
      <c r="L23" s="4">
        <v>20</v>
      </c>
      <c r="M23" s="5">
        <v>3008.56</v>
      </c>
      <c r="N23" s="5">
        <v>2842.9905000000003</v>
      </c>
      <c r="O23" s="5">
        <v>135.38050000000001</v>
      </c>
      <c r="P23" s="5">
        <v>775.84720000000004</v>
      </c>
      <c r="Q23" s="5">
        <v>738.90200000000004</v>
      </c>
      <c r="R23" s="5">
        <v>36.9452</v>
      </c>
      <c r="S23" s="5">
        <v>769.8</v>
      </c>
      <c r="T23" s="5">
        <v>0</v>
      </c>
      <c r="U23" s="6">
        <v>0</v>
      </c>
      <c r="V23" s="6">
        <v>0</v>
      </c>
      <c r="W23" s="5">
        <v>3362.9600018310548</v>
      </c>
      <c r="X23" s="5">
        <v>3202.8</v>
      </c>
      <c r="Y23" s="5">
        <v>160.1600018310547</v>
      </c>
      <c r="Z23" s="6">
        <v>0</v>
      </c>
      <c r="AA23" s="6">
        <v>0</v>
      </c>
      <c r="AB23" s="6">
        <v>0</v>
      </c>
      <c r="AC23" s="5">
        <v>45.891694915254241</v>
      </c>
      <c r="AD23" s="5">
        <v>3202.8</v>
      </c>
      <c r="AE23" s="5">
        <v>160.1600018310547</v>
      </c>
      <c r="AF23" s="5">
        <v>738.90200000000004</v>
      </c>
      <c r="AG23" s="5">
        <v>36.9452</v>
      </c>
      <c r="AH23" s="5">
        <v>0</v>
      </c>
      <c r="AI23" s="4">
        <v>866.65599999999995</v>
      </c>
      <c r="AJ23" s="4">
        <v>43.332800000000006</v>
      </c>
      <c r="AK23" s="4">
        <v>909.98879999999997</v>
      </c>
      <c r="AL23" s="4">
        <v>23</v>
      </c>
      <c r="AM23" s="4">
        <v>1028.2</v>
      </c>
      <c r="AN23" s="4">
        <v>1079.6100000000001</v>
      </c>
      <c r="AO23" s="6">
        <v>0</v>
      </c>
      <c r="AP23" s="6">
        <v>18</v>
      </c>
      <c r="AQ23" s="6">
        <v>0</v>
      </c>
      <c r="AR23" s="5">
        <v>0</v>
      </c>
      <c r="AU23" s="2" t="s">
        <v>3</v>
      </c>
      <c r="AV23" s="2" t="s">
        <v>4</v>
      </c>
    </row>
    <row r="24" spans="1:48" ht="15" customHeight="1" x14ac:dyDescent="0.1">
      <c r="A24" s="1">
        <v>16737</v>
      </c>
      <c r="B24" s="2" t="s">
        <v>77</v>
      </c>
      <c r="C24" s="2" t="s">
        <v>67</v>
      </c>
      <c r="D24" s="6">
        <v>8</v>
      </c>
      <c r="E24" s="6">
        <v>70</v>
      </c>
      <c r="F24" s="6">
        <v>62</v>
      </c>
      <c r="G24" s="6">
        <v>62</v>
      </c>
      <c r="H24" s="6">
        <v>16</v>
      </c>
      <c r="I24" s="3">
        <v>0</v>
      </c>
      <c r="J24" s="3">
        <v>0</v>
      </c>
      <c r="K24" s="6">
        <v>0</v>
      </c>
      <c r="L24" s="4">
        <v>18</v>
      </c>
      <c r="M24" s="5">
        <v>2489.92</v>
      </c>
      <c r="N24" s="5">
        <v>2353.0079999999998</v>
      </c>
      <c r="O24" s="5">
        <v>112.048</v>
      </c>
      <c r="P24" s="5">
        <v>9614.3158000000003</v>
      </c>
      <c r="Q24" s="5">
        <v>9156.4912000000004</v>
      </c>
      <c r="R24" s="5">
        <v>457.82460000000003</v>
      </c>
      <c r="S24" s="5">
        <v>9453.8799999999992</v>
      </c>
      <c r="T24" s="5">
        <v>0</v>
      </c>
      <c r="U24" s="6">
        <v>0</v>
      </c>
      <c r="V24" s="6">
        <v>0</v>
      </c>
      <c r="W24" s="5">
        <v>10514.940002746584</v>
      </c>
      <c r="X24" s="5">
        <v>10014.200000000001</v>
      </c>
      <c r="Y24" s="5">
        <v>500.74000274658209</v>
      </c>
      <c r="Z24" s="6">
        <v>0</v>
      </c>
      <c r="AA24" s="6">
        <v>0</v>
      </c>
      <c r="AB24" s="6">
        <v>0</v>
      </c>
      <c r="AC24" s="5">
        <v>140.06</v>
      </c>
      <c r="AD24" s="5">
        <v>10014.200000000001</v>
      </c>
      <c r="AE24" s="5">
        <v>500.74000274658209</v>
      </c>
      <c r="AF24" s="5">
        <v>9156.4912000000004</v>
      </c>
      <c r="AG24" s="5">
        <v>457.82460000000003</v>
      </c>
      <c r="AH24" s="5">
        <v>0</v>
      </c>
      <c r="AI24" s="4">
        <v>2849.6960000000004</v>
      </c>
      <c r="AJ24" s="4">
        <v>142.48500000000001</v>
      </c>
      <c r="AK24" s="4">
        <v>2992.1810000000005</v>
      </c>
      <c r="AL24" s="4">
        <v>21</v>
      </c>
      <c r="AM24" s="4">
        <v>3346.4319999999998</v>
      </c>
      <c r="AN24" s="4">
        <v>3513.7536</v>
      </c>
      <c r="AO24" s="6">
        <v>0</v>
      </c>
      <c r="AP24" s="6">
        <v>62</v>
      </c>
      <c r="AQ24" s="6">
        <v>0</v>
      </c>
      <c r="AR24" s="5">
        <v>0</v>
      </c>
      <c r="AU24" s="2" t="s">
        <v>3</v>
      </c>
      <c r="AV24" s="2" t="s">
        <v>4</v>
      </c>
    </row>
    <row r="25" spans="1:48" ht="15" customHeight="1" x14ac:dyDescent="0.1">
      <c r="A25" s="1">
        <v>24444</v>
      </c>
      <c r="B25" s="2" t="s">
        <v>78</v>
      </c>
      <c r="C25" s="2" t="s">
        <v>18</v>
      </c>
      <c r="I25" s="3">
        <v>0</v>
      </c>
      <c r="J25" s="3">
        <v>0</v>
      </c>
      <c r="L25" s="4">
        <v>0</v>
      </c>
      <c r="AH25" s="5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P25" s="6">
        <v>0</v>
      </c>
      <c r="AU25" s="2" t="s">
        <v>3</v>
      </c>
      <c r="AV25" s="2" t="s">
        <v>4</v>
      </c>
    </row>
    <row r="26" spans="1:48" ht="15" customHeight="1" x14ac:dyDescent="0.1">
      <c r="A26" s="1">
        <v>26675</v>
      </c>
      <c r="B26" s="2" t="s">
        <v>79</v>
      </c>
      <c r="C26" s="2" t="s">
        <v>18</v>
      </c>
      <c r="I26" s="3">
        <v>0</v>
      </c>
      <c r="J26" s="3">
        <v>0</v>
      </c>
      <c r="L26" s="4">
        <v>0</v>
      </c>
      <c r="AH26" s="5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P26" s="6">
        <v>0</v>
      </c>
      <c r="AU26" s="2" t="s">
        <v>3</v>
      </c>
      <c r="AV26" s="2" t="s">
        <v>4</v>
      </c>
    </row>
    <row r="27" spans="1:48" ht="15" customHeight="1" x14ac:dyDescent="0.1">
      <c r="A27" s="1">
        <v>22288</v>
      </c>
      <c r="B27" s="2" t="s">
        <v>80</v>
      </c>
      <c r="C27" s="2" t="s">
        <v>81</v>
      </c>
      <c r="I27" s="3">
        <v>0</v>
      </c>
      <c r="J27" s="3">
        <v>0</v>
      </c>
      <c r="L27" s="4">
        <v>0</v>
      </c>
      <c r="AH27" s="5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P27" s="6">
        <v>0</v>
      </c>
      <c r="AU27" s="2" t="s">
        <v>3</v>
      </c>
      <c r="AV27" s="2" t="s">
        <v>4</v>
      </c>
    </row>
    <row r="28" spans="1:48" ht="15" customHeight="1" x14ac:dyDescent="0.1">
      <c r="A28" s="1">
        <v>24245</v>
      </c>
      <c r="B28" s="2" t="s">
        <v>82</v>
      </c>
      <c r="C28" s="2" t="s">
        <v>83</v>
      </c>
      <c r="I28" s="3">
        <v>0</v>
      </c>
      <c r="J28" s="3">
        <v>0</v>
      </c>
      <c r="L28" s="4">
        <v>0</v>
      </c>
      <c r="AH28" s="5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P28" s="6">
        <v>0</v>
      </c>
      <c r="AU28" s="2" t="s">
        <v>3</v>
      </c>
      <c r="AV28" s="2" t="s">
        <v>4</v>
      </c>
    </row>
    <row r="29" spans="1:48" ht="15" customHeight="1" x14ac:dyDescent="0.1">
      <c r="A29" s="1">
        <v>26590</v>
      </c>
      <c r="B29" s="2" t="s">
        <v>84</v>
      </c>
      <c r="C29" s="2" t="s">
        <v>83</v>
      </c>
      <c r="D29" s="6">
        <v>6</v>
      </c>
      <c r="E29" s="6">
        <v>0</v>
      </c>
      <c r="F29" s="6">
        <v>0</v>
      </c>
      <c r="H29" s="6">
        <v>6</v>
      </c>
      <c r="I29" s="3">
        <v>0</v>
      </c>
      <c r="J29" s="3">
        <v>0</v>
      </c>
      <c r="K29" s="6">
        <v>0</v>
      </c>
      <c r="L29" s="4">
        <v>2</v>
      </c>
      <c r="M29" s="5">
        <v>1999.74</v>
      </c>
      <c r="N29" s="5">
        <v>1889.748</v>
      </c>
      <c r="O29" s="5">
        <v>89.988</v>
      </c>
      <c r="P29" s="5">
        <v>0</v>
      </c>
      <c r="Q29" s="5">
        <v>0</v>
      </c>
      <c r="R29" s="5">
        <v>0</v>
      </c>
      <c r="T29" s="5">
        <v>0</v>
      </c>
      <c r="U29" s="6">
        <v>0</v>
      </c>
      <c r="V29" s="6">
        <v>0</v>
      </c>
      <c r="W29" s="5">
        <v>0</v>
      </c>
      <c r="X29" s="5">
        <v>0</v>
      </c>
      <c r="Y29" s="5">
        <v>0</v>
      </c>
      <c r="Z29" s="6">
        <v>0</v>
      </c>
      <c r="AA29" s="6">
        <v>0</v>
      </c>
      <c r="AB29" s="6">
        <v>0</v>
      </c>
      <c r="AC29" s="5">
        <v>299.95999999999998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4">
        <v>666.56</v>
      </c>
      <c r="AJ29" s="4">
        <v>33.328000000000003</v>
      </c>
      <c r="AK29" s="4">
        <v>699.88799999999992</v>
      </c>
      <c r="AL29" s="4">
        <v>0</v>
      </c>
      <c r="AM29" s="4">
        <v>0</v>
      </c>
      <c r="AN29" s="4">
        <v>0</v>
      </c>
      <c r="AP29" s="6">
        <v>0</v>
      </c>
      <c r="AQ29" s="6">
        <v>0</v>
      </c>
      <c r="AR29" s="5">
        <v>0</v>
      </c>
      <c r="AU29" s="2" t="s">
        <v>3</v>
      </c>
      <c r="AV29" s="2" t="s">
        <v>4</v>
      </c>
    </row>
    <row r="30" spans="1:48" ht="15" customHeight="1" x14ac:dyDescent="0.1">
      <c r="A30" s="1">
        <v>31013</v>
      </c>
      <c r="B30" s="2" t="s">
        <v>85</v>
      </c>
      <c r="C30" s="2" t="s">
        <v>86</v>
      </c>
      <c r="D30" s="6">
        <v>26</v>
      </c>
      <c r="E30" s="6">
        <v>0</v>
      </c>
      <c r="F30" s="6">
        <v>13</v>
      </c>
      <c r="G30" s="6">
        <v>12</v>
      </c>
      <c r="H30" s="6">
        <v>14</v>
      </c>
      <c r="I30" s="3">
        <v>0</v>
      </c>
      <c r="J30" s="3">
        <v>0</v>
      </c>
      <c r="K30" s="6">
        <v>0</v>
      </c>
      <c r="L30" s="4">
        <v>26</v>
      </c>
      <c r="M30" s="5">
        <v>4796.4400000000005</v>
      </c>
      <c r="N30" s="5">
        <v>4532.6925000000001</v>
      </c>
      <c r="O30" s="5">
        <v>215.8425</v>
      </c>
      <c r="P30" s="5">
        <v>4162.6605999999992</v>
      </c>
      <c r="Q30" s="5">
        <v>3964.4373999999993</v>
      </c>
      <c r="R30" s="5">
        <v>198.22320000000002</v>
      </c>
      <c r="S30" s="5">
        <v>4106.7599999999984</v>
      </c>
      <c r="T30" s="5">
        <v>0</v>
      </c>
      <c r="U30" s="6">
        <v>0</v>
      </c>
      <c r="V30" s="6">
        <v>0</v>
      </c>
      <c r="W30" s="5">
        <v>0</v>
      </c>
      <c r="X30" s="5">
        <v>0</v>
      </c>
      <c r="Y30" s="5">
        <v>0</v>
      </c>
      <c r="Z30" s="6">
        <v>0</v>
      </c>
      <c r="AA30" s="6">
        <v>0</v>
      </c>
      <c r="AB30" s="6">
        <v>-1</v>
      </c>
      <c r="AC30" s="5">
        <v>308.34642857142859</v>
      </c>
      <c r="AD30" s="5">
        <v>0</v>
      </c>
      <c r="AE30" s="5">
        <v>0</v>
      </c>
      <c r="AF30" s="5">
        <v>4266.6674000000003</v>
      </c>
      <c r="AG30" s="5">
        <v>213.33320000000003</v>
      </c>
      <c r="AH30" s="5">
        <v>0</v>
      </c>
      <c r="AI30" s="4">
        <v>6961.2444999999989</v>
      </c>
      <c r="AJ30" s="4">
        <v>348.06219999999996</v>
      </c>
      <c r="AK30" s="4">
        <v>7309.3066999999992</v>
      </c>
      <c r="AL30" s="4">
        <v>7</v>
      </c>
      <c r="AM30" s="4">
        <v>2169.5583999999999</v>
      </c>
      <c r="AN30" s="4">
        <v>2278.0364</v>
      </c>
      <c r="AO30" s="6">
        <v>0</v>
      </c>
      <c r="AP30" s="6">
        <v>12</v>
      </c>
      <c r="AQ30" s="6">
        <v>0</v>
      </c>
      <c r="AR30" s="5">
        <v>0</v>
      </c>
      <c r="AU30" s="2" t="s">
        <v>3</v>
      </c>
      <c r="AV30" s="2" t="s">
        <v>4</v>
      </c>
    </row>
    <row r="31" spans="1:48" ht="15" customHeight="1" x14ac:dyDescent="0.1">
      <c r="A31" s="1">
        <v>12073</v>
      </c>
      <c r="B31" s="2" t="s">
        <v>87</v>
      </c>
      <c r="C31" s="2" t="s">
        <v>18</v>
      </c>
      <c r="D31" s="6">
        <v>7</v>
      </c>
      <c r="E31" s="6">
        <v>0</v>
      </c>
      <c r="F31" s="6">
        <v>0</v>
      </c>
      <c r="H31" s="6">
        <v>7</v>
      </c>
      <c r="I31" s="3">
        <v>0</v>
      </c>
      <c r="J31" s="3">
        <v>0</v>
      </c>
      <c r="K31" s="6">
        <v>0</v>
      </c>
      <c r="L31" s="4">
        <v>0</v>
      </c>
      <c r="M31" s="5">
        <v>378.49</v>
      </c>
      <c r="N31" s="5">
        <v>357.65100000000001</v>
      </c>
      <c r="O31" s="5">
        <v>17.030999999999999</v>
      </c>
      <c r="P31" s="5">
        <v>0</v>
      </c>
      <c r="Q31" s="5">
        <v>0</v>
      </c>
      <c r="R31" s="5">
        <v>0</v>
      </c>
      <c r="T31" s="5">
        <v>0</v>
      </c>
      <c r="U31" s="6">
        <v>0</v>
      </c>
      <c r="V31" s="6">
        <v>0</v>
      </c>
      <c r="W31" s="5">
        <v>0</v>
      </c>
      <c r="X31" s="5">
        <v>0</v>
      </c>
      <c r="Y31" s="5">
        <v>0</v>
      </c>
      <c r="Z31" s="6">
        <v>0</v>
      </c>
      <c r="AA31" s="6">
        <v>0</v>
      </c>
      <c r="AB31" s="6">
        <v>0</v>
      </c>
      <c r="AC31" s="5">
        <v>48.660000000000004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4">
        <v>0</v>
      </c>
      <c r="AJ31" s="4">
        <v>0</v>
      </c>
      <c r="AK31" s="4">
        <v>0</v>
      </c>
      <c r="AL31" s="4">
        <v>1</v>
      </c>
      <c r="AM31" s="4">
        <v>54.07</v>
      </c>
      <c r="AN31" s="4">
        <v>56.773600000000002</v>
      </c>
      <c r="AP31" s="6">
        <v>0</v>
      </c>
      <c r="AQ31" s="6">
        <v>0</v>
      </c>
      <c r="AR31" s="5">
        <v>0</v>
      </c>
      <c r="AU31" s="2" t="s">
        <v>3</v>
      </c>
      <c r="AV31" s="2" t="s">
        <v>4</v>
      </c>
    </row>
    <row r="32" spans="1:48" ht="15" customHeight="1" x14ac:dyDescent="0.1">
      <c r="A32" s="1">
        <v>31034</v>
      </c>
      <c r="B32" s="2" t="s">
        <v>88</v>
      </c>
      <c r="C32" s="2" t="s">
        <v>67</v>
      </c>
      <c r="D32" s="6">
        <v>20</v>
      </c>
      <c r="E32" s="6">
        <v>0</v>
      </c>
      <c r="F32" s="6">
        <v>4</v>
      </c>
      <c r="G32" s="6">
        <v>4</v>
      </c>
      <c r="H32" s="6">
        <v>16</v>
      </c>
      <c r="I32" s="3">
        <v>0</v>
      </c>
      <c r="J32" s="3">
        <v>0</v>
      </c>
      <c r="K32" s="6">
        <v>0</v>
      </c>
      <c r="L32" s="4">
        <v>22</v>
      </c>
      <c r="M32" s="5">
        <v>1423.84</v>
      </c>
      <c r="N32" s="5">
        <v>1345.5120000000002</v>
      </c>
      <c r="O32" s="5">
        <v>64.072000000000003</v>
      </c>
      <c r="P32" s="5">
        <v>373.75799999999998</v>
      </c>
      <c r="Q32" s="5">
        <v>355.96</v>
      </c>
      <c r="R32" s="5">
        <v>17.797999999999998</v>
      </c>
      <c r="S32" s="5">
        <v>355.96</v>
      </c>
      <c r="T32" s="5">
        <v>0</v>
      </c>
      <c r="U32" s="6">
        <v>0</v>
      </c>
      <c r="V32" s="6">
        <v>0</v>
      </c>
      <c r="W32" s="5">
        <v>0</v>
      </c>
      <c r="X32" s="5">
        <v>0</v>
      </c>
      <c r="Y32" s="5">
        <v>0</v>
      </c>
      <c r="Z32" s="6">
        <v>0</v>
      </c>
      <c r="AA32" s="6">
        <v>0</v>
      </c>
      <c r="AB32" s="6">
        <v>0</v>
      </c>
      <c r="AC32" s="5">
        <v>80.09</v>
      </c>
      <c r="AD32" s="5">
        <v>0</v>
      </c>
      <c r="AE32" s="5">
        <v>0</v>
      </c>
      <c r="AF32" s="5">
        <v>355.96</v>
      </c>
      <c r="AG32" s="5">
        <v>17.797999999999998</v>
      </c>
      <c r="AH32" s="5">
        <v>0</v>
      </c>
      <c r="AI32" s="4">
        <v>1893.3609000000001</v>
      </c>
      <c r="AJ32" s="4">
        <v>94.668199999999999</v>
      </c>
      <c r="AK32" s="4">
        <v>1988.0291000000002</v>
      </c>
      <c r="AL32" s="4">
        <v>0</v>
      </c>
      <c r="AM32" s="4">
        <v>0</v>
      </c>
      <c r="AN32" s="4">
        <v>0</v>
      </c>
      <c r="AO32" s="6">
        <v>0</v>
      </c>
      <c r="AP32" s="6">
        <v>4</v>
      </c>
      <c r="AQ32" s="6">
        <v>0</v>
      </c>
      <c r="AR32" s="5">
        <v>0</v>
      </c>
      <c r="AU32" s="2" t="s">
        <v>3</v>
      </c>
      <c r="AV32" s="2" t="s">
        <v>4</v>
      </c>
    </row>
    <row r="33" spans="1:50" ht="15" customHeight="1" x14ac:dyDescent="0.1">
      <c r="A33" s="1">
        <v>17855</v>
      </c>
      <c r="B33" s="2" t="s">
        <v>89</v>
      </c>
      <c r="C33" s="2" t="s">
        <v>18</v>
      </c>
      <c r="I33" s="3">
        <v>0</v>
      </c>
      <c r="J33" s="3">
        <v>0</v>
      </c>
      <c r="L33" s="4">
        <v>0</v>
      </c>
      <c r="AH33" s="5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P33" s="6">
        <v>0</v>
      </c>
      <c r="AU33" s="2" t="s">
        <v>3</v>
      </c>
      <c r="AV33" s="2" t="s">
        <v>4</v>
      </c>
    </row>
    <row r="34" spans="1:50" ht="15" customHeight="1" x14ac:dyDescent="0.1">
      <c r="A34" s="1">
        <v>19905</v>
      </c>
      <c r="B34" s="2" t="s">
        <v>90</v>
      </c>
      <c r="C34" s="2" t="s">
        <v>91</v>
      </c>
      <c r="I34" s="3">
        <v>0</v>
      </c>
      <c r="J34" s="3">
        <v>0</v>
      </c>
      <c r="L34" s="4">
        <v>0</v>
      </c>
      <c r="AH34" s="5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P34" s="6">
        <v>0</v>
      </c>
      <c r="AU34" s="2" t="s">
        <v>3</v>
      </c>
      <c r="AV34" s="2" t="s">
        <v>4</v>
      </c>
    </row>
    <row r="35" spans="1:50" ht="15" customHeight="1" x14ac:dyDescent="0.1">
      <c r="A35" s="1">
        <v>12075</v>
      </c>
      <c r="B35" s="2" t="s">
        <v>92</v>
      </c>
      <c r="C35" s="2" t="s">
        <v>18</v>
      </c>
      <c r="I35" s="3">
        <v>0</v>
      </c>
      <c r="J35" s="3">
        <v>0</v>
      </c>
      <c r="L35" s="4">
        <v>0</v>
      </c>
      <c r="AH35" s="5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P35" s="6">
        <v>0</v>
      </c>
      <c r="AU35" s="2" t="s">
        <v>3</v>
      </c>
      <c r="AV35" s="2" t="s">
        <v>4</v>
      </c>
    </row>
    <row r="36" spans="1:50" ht="15" customHeight="1" x14ac:dyDescent="0.1">
      <c r="A36" s="1">
        <v>31033</v>
      </c>
      <c r="B36" s="2" t="s">
        <v>93</v>
      </c>
      <c r="C36" s="2" t="s">
        <v>67</v>
      </c>
      <c r="D36" s="6">
        <v>10</v>
      </c>
      <c r="E36" s="6">
        <v>10</v>
      </c>
      <c r="F36" s="6">
        <v>12</v>
      </c>
      <c r="G36" s="6">
        <v>12</v>
      </c>
      <c r="H36" s="6">
        <v>8</v>
      </c>
      <c r="I36" s="3">
        <v>0</v>
      </c>
      <c r="J36" s="3">
        <v>0</v>
      </c>
      <c r="K36" s="6">
        <v>0</v>
      </c>
      <c r="L36" s="4">
        <v>8</v>
      </c>
      <c r="M36" s="5">
        <v>1936.48</v>
      </c>
      <c r="N36" s="5">
        <v>1829.94</v>
      </c>
      <c r="O36" s="5">
        <v>87.14</v>
      </c>
      <c r="P36" s="5">
        <v>2936.0909000000001</v>
      </c>
      <c r="Q36" s="5">
        <v>2796.2771000000002</v>
      </c>
      <c r="R36" s="5">
        <v>139.81380000000001</v>
      </c>
      <c r="S36" s="5">
        <v>2904.72</v>
      </c>
      <c r="T36" s="5">
        <v>0</v>
      </c>
      <c r="U36" s="6">
        <v>0</v>
      </c>
      <c r="V36" s="6">
        <v>0</v>
      </c>
      <c r="W36" s="5">
        <v>2287.4199990844727</v>
      </c>
      <c r="X36" s="5">
        <v>2178.5</v>
      </c>
      <c r="Y36" s="5">
        <v>108.91999908447266</v>
      </c>
      <c r="Z36" s="6">
        <v>0</v>
      </c>
      <c r="AA36" s="6">
        <v>0</v>
      </c>
      <c r="AB36" s="6">
        <v>0</v>
      </c>
      <c r="AC36" s="5">
        <v>217.85</v>
      </c>
      <c r="AD36" s="5">
        <v>2178.5</v>
      </c>
      <c r="AE36" s="5">
        <v>108.91999908447266</v>
      </c>
      <c r="AF36" s="5">
        <v>2796.2771000000002</v>
      </c>
      <c r="AG36" s="5">
        <v>139.81380000000001</v>
      </c>
      <c r="AH36" s="5">
        <v>0</v>
      </c>
      <c r="AI36" s="4">
        <v>1857.6867999999997</v>
      </c>
      <c r="AJ36" s="4">
        <v>92.885400000000018</v>
      </c>
      <c r="AK36" s="4">
        <v>1950.5721999999998</v>
      </c>
      <c r="AL36" s="4">
        <v>10</v>
      </c>
      <c r="AM36" s="4">
        <v>2343.1407999999997</v>
      </c>
      <c r="AN36" s="4">
        <v>2460.2977999999998</v>
      </c>
      <c r="AO36" s="6">
        <v>0</v>
      </c>
      <c r="AP36" s="6">
        <v>12</v>
      </c>
      <c r="AQ36" s="6">
        <v>0</v>
      </c>
      <c r="AR36" s="5">
        <v>0</v>
      </c>
      <c r="AU36" s="2" t="s">
        <v>3</v>
      </c>
      <c r="AV36" s="2" t="s">
        <v>4</v>
      </c>
    </row>
    <row r="37" spans="1:50" ht="15" customHeight="1" x14ac:dyDescent="0.1">
      <c r="A37" s="1">
        <v>31873</v>
      </c>
      <c r="B37" s="2" t="s">
        <v>94</v>
      </c>
      <c r="C37" s="2" t="s">
        <v>67</v>
      </c>
      <c r="D37" s="6">
        <v>58</v>
      </c>
      <c r="E37" s="6">
        <v>0</v>
      </c>
      <c r="F37" s="6">
        <v>2</v>
      </c>
      <c r="G37" s="6">
        <v>2</v>
      </c>
      <c r="H37" s="6">
        <v>56</v>
      </c>
      <c r="I37" s="3">
        <v>0</v>
      </c>
      <c r="J37" s="3">
        <v>0</v>
      </c>
      <c r="K37" s="6">
        <v>0</v>
      </c>
      <c r="L37" s="4">
        <v>6</v>
      </c>
      <c r="M37" s="5">
        <v>18892.72</v>
      </c>
      <c r="N37" s="5">
        <v>17853.444</v>
      </c>
      <c r="O37" s="5">
        <v>850.16399999999999</v>
      </c>
      <c r="P37" s="5">
        <v>680.13800000000003</v>
      </c>
      <c r="Q37" s="5">
        <v>647.75040000000001</v>
      </c>
      <c r="R37" s="5">
        <v>32.387599999999999</v>
      </c>
      <c r="S37" s="5">
        <v>674.74</v>
      </c>
      <c r="T37" s="5">
        <v>0</v>
      </c>
      <c r="U37" s="6">
        <v>0</v>
      </c>
      <c r="V37" s="6">
        <v>0</v>
      </c>
      <c r="W37" s="5">
        <v>0</v>
      </c>
      <c r="X37" s="5">
        <v>0</v>
      </c>
      <c r="Y37" s="5">
        <v>0</v>
      </c>
      <c r="Z37" s="6">
        <v>0</v>
      </c>
      <c r="AA37" s="6">
        <v>0</v>
      </c>
      <c r="AB37" s="6">
        <v>0</v>
      </c>
      <c r="AC37" s="5">
        <v>303.63</v>
      </c>
      <c r="AD37" s="5">
        <v>0</v>
      </c>
      <c r="AE37" s="5">
        <v>0</v>
      </c>
      <c r="AF37" s="5">
        <v>647.75040000000001</v>
      </c>
      <c r="AG37" s="5">
        <v>32.387599999999999</v>
      </c>
      <c r="AH37" s="5">
        <v>0</v>
      </c>
      <c r="AI37" s="4">
        <v>1889.9607999999998</v>
      </c>
      <c r="AJ37" s="4">
        <v>94.49799999999999</v>
      </c>
      <c r="AK37" s="4">
        <v>1984.4587999999999</v>
      </c>
      <c r="AL37" s="4">
        <v>3</v>
      </c>
      <c r="AM37" s="4">
        <v>943.6309</v>
      </c>
      <c r="AN37" s="4">
        <v>990.8125</v>
      </c>
      <c r="AO37" s="6">
        <v>0</v>
      </c>
      <c r="AP37" s="6">
        <v>2</v>
      </c>
      <c r="AQ37" s="6">
        <v>0</v>
      </c>
      <c r="AR37" s="5">
        <v>0</v>
      </c>
      <c r="AU37" s="2" t="s">
        <v>3</v>
      </c>
      <c r="AV37" s="2" t="s">
        <v>4</v>
      </c>
    </row>
    <row r="38" spans="1:50" ht="15" customHeight="1" x14ac:dyDescent="0.1">
      <c r="A38" s="1">
        <v>22665</v>
      </c>
      <c r="B38" s="2" t="s">
        <v>95</v>
      </c>
      <c r="C38" s="2" t="s">
        <v>67</v>
      </c>
      <c r="D38" s="6">
        <v>12</v>
      </c>
      <c r="E38" s="6">
        <v>30</v>
      </c>
      <c r="F38" s="6">
        <v>16</v>
      </c>
      <c r="G38" s="6">
        <v>16</v>
      </c>
      <c r="H38" s="6">
        <v>26</v>
      </c>
      <c r="I38" s="3">
        <v>0</v>
      </c>
      <c r="J38" s="3">
        <v>0</v>
      </c>
      <c r="K38" s="6">
        <v>0</v>
      </c>
      <c r="L38" s="4">
        <v>19</v>
      </c>
      <c r="M38" s="5">
        <v>3238.8199999999997</v>
      </c>
      <c r="N38" s="5">
        <v>3060.6029999999996</v>
      </c>
      <c r="O38" s="5">
        <v>145.74299999999999</v>
      </c>
      <c r="P38" s="5">
        <v>2019.0054000000002</v>
      </c>
      <c r="Q38" s="5">
        <v>1922.8626000000002</v>
      </c>
      <c r="R38" s="5">
        <v>96.142800000000008</v>
      </c>
      <c r="S38" s="5">
        <v>1993.12</v>
      </c>
      <c r="T38" s="5">
        <v>0</v>
      </c>
      <c r="U38" s="6">
        <v>0</v>
      </c>
      <c r="V38" s="6">
        <v>0</v>
      </c>
      <c r="W38" s="5">
        <v>3531.4800020599364</v>
      </c>
      <c r="X38" s="5">
        <v>3363.2999999999997</v>
      </c>
      <c r="Y38" s="5">
        <v>168.18000205993653</v>
      </c>
      <c r="Z38" s="6">
        <v>0</v>
      </c>
      <c r="AA38" s="6">
        <v>0</v>
      </c>
      <c r="AB38" s="6">
        <v>0</v>
      </c>
      <c r="AC38" s="5">
        <v>112.11</v>
      </c>
      <c r="AD38" s="5">
        <v>3363.2999999999997</v>
      </c>
      <c r="AE38" s="5">
        <v>168.18000205993653</v>
      </c>
      <c r="AF38" s="5">
        <v>1922.8626000000002</v>
      </c>
      <c r="AG38" s="5">
        <v>96.142800000000008</v>
      </c>
      <c r="AH38" s="5">
        <v>0</v>
      </c>
      <c r="AI38" s="4">
        <v>2289.0983999999999</v>
      </c>
      <c r="AJ38" s="4">
        <v>114.45439999999999</v>
      </c>
      <c r="AK38" s="4">
        <v>2403.5527999999999</v>
      </c>
      <c r="AL38" s="4">
        <v>20</v>
      </c>
      <c r="AM38" s="4">
        <v>2403.2001</v>
      </c>
      <c r="AN38" s="4">
        <v>2523.3645000000001</v>
      </c>
      <c r="AO38" s="6">
        <v>0</v>
      </c>
      <c r="AP38" s="6">
        <v>16</v>
      </c>
      <c r="AQ38" s="6">
        <v>0</v>
      </c>
      <c r="AR38" s="5">
        <v>0</v>
      </c>
      <c r="AU38" s="2" t="s">
        <v>3</v>
      </c>
      <c r="AV38" s="2" t="s">
        <v>4</v>
      </c>
    </row>
    <row r="39" spans="1:50" ht="15" customHeight="1" x14ac:dyDescent="0.1">
      <c r="A39" s="1">
        <v>28449</v>
      </c>
      <c r="B39" s="2" t="s">
        <v>96</v>
      </c>
      <c r="C39" s="2" t="s">
        <v>18</v>
      </c>
      <c r="D39" s="6">
        <v>15</v>
      </c>
      <c r="E39" s="6">
        <v>0</v>
      </c>
      <c r="F39" s="6">
        <v>2</v>
      </c>
      <c r="G39" s="6">
        <v>2</v>
      </c>
      <c r="H39" s="6">
        <v>13</v>
      </c>
      <c r="I39" s="3">
        <v>0</v>
      </c>
      <c r="J39" s="3">
        <v>0</v>
      </c>
      <c r="K39" s="6">
        <v>0</v>
      </c>
      <c r="L39" s="4">
        <v>14</v>
      </c>
      <c r="M39" s="5">
        <v>1783.3400000000001</v>
      </c>
      <c r="N39" s="5">
        <v>1685.229</v>
      </c>
      <c r="O39" s="5">
        <v>80.248999999999995</v>
      </c>
      <c r="P39" s="5">
        <v>276.5548</v>
      </c>
      <c r="Q39" s="5">
        <v>263.38560000000001</v>
      </c>
      <c r="R39" s="5">
        <v>13.1692</v>
      </c>
      <c r="S39" s="5">
        <v>274.36</v>
      </c>
      <c r="T39" s="5">
        <v>0</v>
      </c>
      <c r="U39" s="6">
        <v>0</v>
      </c>
      <c r="V39" s="6">
        <v>0</v>
      </c>
      <c r="W39" s="5">
        <v>0</v>
      </c>
      <c r="X39" s="5">
        <v>0</v>
      </c>
      <c r="Y39" s="5">
        <v>0</v>
      </c>
      <c r="Z39" s="6">
        <v>0</v>
      </c>
      <c r="AA39" s="6">
        <v>0</v>
      </c>
      <c r="AB39" s="6">
        <v>0</v>
      </c>
      <c r="AC39" s="5">
        <v>123.46000000000001</v>
      </c>
      <c r="AD39" s="5">
        <v>0</v>
      </c>
      <c r="AE39" s="5">
        <v>0</v>
      </c>
      <c r="AF39" s="5">
        <v>263.38560000000001</v>
      </c>
      <c r="AG39" s="5">
        <v>13.1692</v>
      </c>
      <c r="AH39" s="5">
        <v>0</v>
      </c>
      <c r="AI39" s="4">
        <v>1854.6736000000001</v>
      </c>
      <c r="AJ39" s="4">
        <v>92.733599999999996</v>
      </c>
      <c r="AK39" s="4">
        <v>1947.4072000000001</v>
      </c>
      <c r="AL39" s="4">
        <v>0</v>
      </c>
      <c r="AM39" s="4">
        <v>0</v>
      </c>
      <c r="AN39" s="4">
        <v>0</v>
      </c>
      <c r="AO39" s="6">
        <v>0</v>
      </c>
      <c r="AP39" s="6">
        <v>2</v>
      </c>
      <c r="AQ39" s="6">
        <v>0</v>
      </c>
      <c r="AR39" s="5">
        <v>0</v>
      </c>
      <c r="AU39" s="2" t="s">
        <v>3</v>
      </c>
      <c r="AV39" s="2" t="s">
        <v>4</v>
      </c>
    </row>
    <row r="40" spans="1:50" ht="15" customHeight="1" x14ac:dyDescent="0.1">
      <c r="A40" s="1">
        <v>22666</v>
      </c>
      <c r="B40" s="2" t="s">
        <v>97</v>
      </c>
      <c r="C40" s="2" t="s">
        <v>18</v>
      </c>
      <c r="I40" s="3">
        <v>0</v>
      </c>
      <c r="J40" s="3">
        <v>0</v>
      </c>
      <c r="L40" s="4">
        <v>0</v>
      </c>
      <c r="AH40" s="5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P40" s="6">
        <v>0</v>
      </c>
      <c r="AU40" s="2" t="s">
        <v>3</v>
      </c>
      <c r="AV40" s="2" t="s">
        <v>4</v>
      </c>
    </row>
    <row r="41" spans="1:50" ht="15" customHeight="1" x14ac:dyDescent="0.1">
      <c r="A41" s="1">
        <v>22674</v>
      </c>
      <c r="B41" s="2" t="s">
        <v>98</v>
      </c>
      <c r="C41" s="2" t="s">
        <v>18</v>
      </c>
      <c r="I41" s="3">
        <v>0</v>
      </c>
      <c r="J41" s="3">
        <v>0</v>
      </c>
      <c r="L41" s="4">
        <v>0</v>
      </c>
      <c r="AH41" s="5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P41" s="6">
        <v>0</v>
      </c>
      <c r="AU41" s="2" t="s">
        <v>3</v>
      </c>
      <c r="AV41" s="2" t="s">
        <v>4</v>
      </c>
    </row>
    <row r="42" spans="1:50" ht="15" customHeight="1" x14ac:dyDescent="0.1">
      <c r="A42" s="1">
        <v>25828</v>
      </c>
      <c r="B42" s="2" t="s">
        <v>99</v>
      </c>
      <c r="C42" s="2" t="s">
        <v>18</v>
      </c>
      <c r="I42" s="3">
        <v>0</v>
      </c>
      <c r="J42" s="3">
        <v>0</v>
      </c>
      <c r="L42" s="4">
        <v>0</v>
      </c>
      <c r="AH42" s="5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P42" s="6">
        <v>0</v>
      </c>
      <c r="AU42" s="2" t="s">
        <v>3</v>
      </c>
      <c r="AV42" s="2" t="s">
        <v>4</v>
      </c>
    </row>
    <row r="43" spans="1:50" s="7" customFormat="1" ht="15" customHeight="1" x14ac:dyDescent="0.1">
      <c r="A43" s="8">
        <v>22673</v>
      </c>
      <c r="B43" s="9" t="s">
        <v>100</v>
      </c>
      <c r="C43" s="9" t="s">
        <v>18</v>
      </c>
      <c r="D43" s="10"/>
      <c r="E43" s="10"/>
      <c r="F43" s="10"/>
      <c r="G43" s="10"/>
      <c r="H43" s="10"/>
      <c r="I43" s="11">
        <v>0</v>
      </c>
      <c r="J43" s="11">
        <v>0</v>
      </c>
      <c r="K43" s="10"/>
      <c r="L43" s="12">
        <v>0</v>
      </c>
      <c r="M43" s="13"/>
      <c r="N43" s="13"/>
      <c r="O43" s="13"/>
      <c r="P43" s="13"/>
      <c r="Q43" s="13"/>
      <c r="R43" s="13"/>
      <c r="S43" s="13"/>
      <c r="T43" s="13"/>
      <c r="U43" s="10"/>
      <c r="V43" s="10"/>
      <c r="W43" s="13"/>
      <c r="X43" s="13"/>
      <c r="Y43" s="13"/>
      <c r="Z43" s="10"/>
      <c r="AA43" s="10"/>
      <c r="AB43" s="10"/>
      <c r="AC43" s="13"/>
      <c r="AD43" s="13"/>
      <c r="AE43" s="13"/>
      <c r="AF43" s="13"/>
      <c r="AG43" s="13"/>
      <c r="AH43" s="13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0"/>
      <c r="AP43" s="10">
        <v>0</v>
      </c>
      <c r="AQ43" s="10"/>
      <c r="AR43" s="13"/>
      <c r="AS43" s="9"/>
      <c r="AT43" s="9"/>
      <c r="AU43" s="9" t="s">
        <v>3</v>
      </c>
      <c r="AV43" s="9" t="s">
        <v>4</v>
      </c>
      <c r="AW43" s="9"/>
      <c r="AX43" s="9"/>
    </row>
    <row r="44" spans="1:50" ht="15" customHeight="1" x14ac:dyDescent="0.1">
      <c r="A44" s="1">
        <v>12080</v>
      </c>
      <c r="B44" s="2" t="s">
        <v>101</v>
      </c>
      <c r="C44" s="2" t="s">
        <v>18</v>
      </c>
      <c r="D44" s="6">
        <v>75</v>
      </c>
      <c r="E44" s="6">
        <v>30</v>
      </c>
      <c r="F44" s="6">
        <v>82</v>
      </c>
      <c r="G44" s="6">
        <v>79</v>
      </c>
      <c r="H44" s="6">
        <v>26</v>
      </c>
      <c r="I44" s="3">
        <v>0</v>
      </c>
      <c r="J44" s="3">
        <v>0</v>
      </c>
      <c r="K44" s="6">
        <v>0</v>
      </c>
      <c r="L44" s="4">
        <v>77</v>
      </c>
      <c r="M44" s="5">
        <v>508.55999999999995</v>
      </c>
      <c r="N44" s="5">
        <v>480.48</v>
      </c>
      <c r="O44" s="5">
        <v>22.880000000000003</v>
      </c>
      <c r="P44" s="5">
        <v>1447.6745999999998</v>
      </c>
      <c r="Q44" s="5">
        <v>1378.7415999999998</v>
      </c>
      <c r="R44" s="5">
        <v>68.933000000000007</v>
      </c>
      <c r="S44" s="5">
        <v>1427.88</v>
      </c>
      <c r="T44" s="5">
        <v>0</v>
      </c>
      <c r="U44" s="6">
        <v>0</v>
      </c>
      <c r="V44" s="6">
        <v>0</v>
      </c>
      <c r="W44" s="5">
        <v>554.39999980926518</v>
      </c>
      <c r="X44" s="5">
        <v>528</v>
      </c>
      <c r="Y44" s="5">
        <v>26.399999809265136</v>
      </c>
      <c r="Z44" s="6">
        <v>0</v>
      </c>
      <c r="AA44" s="6">
        <v>0</v>
      </c>
      <c r="AB44" s="6">
        <v>-3</v>
      </c>
      <c r="AC44" s="5">
        <v>17.600000000000001</v>
      </c>
      <c r="AD44" s="5">
        <v>528</v>
      </c>
      <c r="AE44" s="5">
        <v>26.399999809265136</v>
      </c>
      <c r="AF44" s="5">
        <v>1436.2516000000001</v>
      </c>
      <c r="AG44" s="5">
        <v>71.813000000000002</v>
      </c>
      <c r="AH44" s="5">
        <v>0</v>
      </c>
      <c r="AI44" s="4">
        <v>1415.0485999999999</v>
      </c>
      <c r="AJ44" s="4">
        <v>70.752800000000008</v>
      </c>
      <c r="AK44" s="4">
        <v>1485.8013999999998</v>
      </c>
      <c r="AL44" s="4">
        <v>71</v>
      </c>
      <c r="AM44" s="4">
        <v>1281.7275999999999</v>
      </c>
      <c r="AN44" s="4">
        <v>1345.8139999999999</v>
      </c>
      <c r="AO44" s="6">
        <v>0</v>
      </c>
      <c r="AP44" s="6">
        <v>79</v>
      </c>
      <c r="AQ44" s="6">
        <v>0</v>
      </c>
      <c r="AR44" s="5">
        <v>0</v>
      </c>
      <c r="AU44" s="2" t="s">
        <v>3</v>
      </c>
      <c r="AV44" s="2" t="s">
        <v>4</v>
      </c>
    </row>
    <row r="45" spans="1:50" ht="15" customHeight="1" x14ac:dyDescent="0.1">
      <c r="A45" s="1">
        <v>12081</v>
      </c>
      <c r="B45" s="2" t="s">
        <v>102</v>
      </c>
      <c r="C45" s="2" t="s">
        <v>18</v>
      </c>
      <c r="D45" s="6">
        <v>54</v>
      </c>
      <c r="E45" s="6">
        <v>110</v>
      </c>
      <c r="F45" s="6">
        <v>138</v>
      </c>
      <c r="G45" s="6">
        <v>138</v>
      </c>
      <c r="H45" s="6">
        <v>26</v>
      </c>
      <c r="I45" s="3">
        <v>0</v>
      </c>
      <c r="J45" s="3">
        <v>0</v>
      </c>
      <c r="K45" s="6">
        <v>0</v>
      </c>
      <c r="L45" s="4">
        <v>89</v>
      </c>
      <c r="M45" s="5">
        <v>619.84</v>
      </c>
      <c r="N45" s="5">
        <v>585.85800000000006</v>
      </c>
      <c r="O45" s="5">
        <v>27.898000000000003</v>
      </c>
      <c r="P45" s="5">
        <v>2943.5626999999995</v>
      </c>
      <c r="Q45" s="5">
        <v>2803.3932999999997</v>
      </c>
      <c r="R45" s="5">
        <v>140.1694</v>
      </c>
      <c r="S45" s="5">
        <v>2908.4800000000005</v>
      </c>
      <c r="T45" s="5">
        <v>0</v>
      </c>
      <c r="U45" s="6">
        <v>0</v>
      </c>
      <c r="V45" s="6">
        <v>3</v>
      </c>
      <c r="W45" s="5">
        <v>2411.0599991226195</v>
      </c>
      <c r="X45" s="5">
        <v>2296.2199999999998</v>
      </c>
      <c r="Y45" s="5">
        <v>114.83999912261963</v>
      </c>
      <c r="Z45" s="6">
        <v>0</v>
      </c>
      <c r="AA45" s="6">
        <v>0</v>
      </c>
      <c r="AB45" s="6">
        <v>0</v>
      </c>
      <c r="AC45" s="5">
        <v>21.46</v>
      </c>
      <c r="AD45" s="5">
        <v>2296.2199999999998</v>
      </c>
      <c r="AE45" s="5">
        <v>114.83999912261963</v>
      </c>
      <c r="AF45" s="5">
        <v>2803.3932999999997</v>
      </c>
      <c r="AG45" s="5">
        <v>140.1694</v>
      </c>
      <c r="AH45" s="5">
        <v>0</v>
      </c>
      <c r="AI45" s="4">
        <v>1814.2240000000004</v>
      </c>
      <c r="AJ45" s="4">
        <v>90.710800000000006</v>
      </c>
      <c r="AK45" s="4">
        <v>1904.9348000000005</v>
      </c>
      <c r="AL45" s="4">
        <v>100</v>
      </c>
      <c r="AM45" s="4">
        <v>2120.8063999999999</v>
      </c>
      <c r="AN45" s="4">
        <v>2226.8463999999999</v>
      </c>
      <c r="AO45" s="6">
        <v>0</v>
      </c>
      <c r="AP45" s="6">
        <v>138</v>
      </c>
      <c r="AQ45" s="6">
        <v>0</v>
      </c>
      <c r="AR45" s="5">
        <v>0</v>
      </c>
      <c r="AU45" s="2" t="s">
        <v>3</v>
      </c>
      <c r="AV45" s="2" t="s">
        <v>4</v>
      </c>
    </row>
    <row r="46" spans="1:50" ht="15" customHeight="1" x14ac:dyDescent="0.1">
      <c r="A46" s="1">
        <v>12082</v>
      </c>
      <c r="B46" s="2" t="s">
        <v>103</v>
      </c>
      <c r="C46" s="2" t="s">
        <v>18</v>
      </c>
      <c r="D46" s="6">
        <v>24</v>
      </c>
      <c r="E46" s="6">
        <v>10</v>
      </c>
      <c r="F46" s="6">
        <v>20</v>
      </c>
      <c r="G46" s="6">
        <v>20</v>
      </c>
      <c r="H46" s="6">
        <v>14</v>
      </c>
      <c r="I46" s="3">
        <v>0</v>
      </c>
      <c r="J46" s="3">
        <v>0</v>
      </c>
      <c r="K46" s="6">
        <v>0</v>
      </c>
      <c r="L46" s="4">
        <v>28</v>
      </c>
      <c r="M46" s="5">
        <v>926.93999999999983</v>
      </c>
      <c r="N46" s="5">
        <v>875.97300000000007</v>
      </c>
      <c r="O46" s="5">
        <v>41.713000000000008</v>
      </c>
      <c r="P46" s="5">
        <v>1338.6866</v>
      </c>
      <c r="Q46" s="5">
        <v>1274.9398000000001</v>
      </c>
      <c r="R46" s="5">
        <v>63.746799999999993</v>
      </c>
      <c r="S46" s="5">
        <v>1324.1999999999998</v>
      </c>
      <c r="T46" s="5">
        <v>0</v>
      </c>
      <c r="U46" s="6">
        <v>0</v>
      </c>
      <c r="V46" s="6">
        <v>0</v>
      </c>
      <c r="W46" s="5">
        <v>625.69999961853023</v>
      </c>
      <c r="X46" s="5">
        <v>595.9</v>
      </c>
      <c r="Y46" s="5">
        <v>29.799999618530272</v>
      </c>
      <c r="Z46" s="6">
        <v>0</v>
      </c>
      <c r="AA46" s="6">
        <v>0</v>
      </c>
      <c r="AB46" s="6">
        <v>0</v>
      </c>
      <c r="AC46" s="5">
        <v>59.590000000000011</v>
      </c>
      <c r="AD46" s="5">
        <v>595.9</v>
      </c>
      <c r="AE46" s="5">
        <v>29.799999618530272</v>
      </c>
      <c r="AF46" s="5">
        <v>1274.9398000000001</v>
      </c>
      <c r="AG46" s="5">
        <v>63.746799999999993</v>
      </c>
      <c r="AH46" s="5">
        <v>0</v>
      </c>
      <c r="AI46" s="4">
        <v>1792.4371000000001</v>
      </c>
      <c r="AJ46" s="4">
        <v>89.621800000000007</v>
      </c>
      <c r="AK46" s="4">
        <v>1882.0589</v>
      </c>
      <c r="AL46" s="4">
        <v>15</v>
      </c>
      <c r="AM46" s="4">
        <v>957.39660000000003</v>
      </c>
      <c r="AN46" s="4">
        <v>1005.2664</v>
      </c>
      <c r="AO46" s="6">
        <v>0</v>
      </c>
      <c r="AP46" s="6">
        <v>20</v>
      </c>
      <c r="AQ46" s="6">
        <v>0</v>
      </c>
      <c r="AR46" s="5">
        <v>0</v>
      </c>
      <c r="AU46" s="2" t="s">
        <v>3</v>
      </c>
      <c r="AV46" s="2" t="s">
        <v>4</v>
      </c>
    </row>
    <row r="47" spans="1:50" ht="15" customHeight="1" x14ac:dyDescent="0.1">
      <c r="A47" s="1">
        <v>27188</v>
      </c>
      <c r="B47" s="2" t="s">
        <v>104</v>
      </c>
      <c r="C47" s="2" t="s">
        <v>18</v>
      </c>
      <c r="D47" s="6">
        <v>66</v>
      </c>
      <c r="E47" s="6">
        <v>140</v>
      </c>
      <c r="F47" s="6">
        <v>142</v>
      </c>
      <c r="G47" s="6">
        <v>142</v>
      </c>
      <c r="H47" s="6">
        <v>64</v>
      </c>
      <c r="I47" s="3">
        <v>0</v>
      </c>
      <c r="J47" s="3">
        <v>0</v>
      </c>
      <c r="K47" s="6">
        <v>0</v>
      </c>
      <c r="L47" s="4">
        <v>96</v>
      </c>
      <c r="M47" s="5">
        <v>1870.08</v>
      </c>
      <c r="N47" s="5">
        <v>1767.3600000000001</v>
      </c>
      <c r="O47" s="5">
        <v>84.16</v>
      </c>
      <c r="P47" s="5">
        <v>3662.3296</v>
      </c>
      <c r="Q47" s="5">
        <v>3487.933</v>
      </c>
      <c r="R47" s="5">
        <v>174.39660000000001</v>
      </c>
      <c r="S47" s="5">
        <v>3564.8399999999997</v>
      </c>
      <c r="T47" s="5">
        <v>0</v>
      </c>
      <c r="U47" s="6">
        <v>0</v>
      </c>
      <c r="V47" s="6">
        <v>0</v>
      </c>
      <c r="W47" s="5">
        <v>3866.1199994659423</v>
      </c>
      <c r="X47" s="5">
        <v>3682</v>
      </c>
      <c r="Y47" s="5">
        <v>184.11999946594239</v>
      </c>
      <c r="Z47" s="6">
        <v>0</v>
      </c>
      <c r="AA47" s="6">
        <v>0</v>
      </c>
      <c r="AB47" s="6">
        <v>0</v>
      </c>
      <c r="AC47" s="5">
        <v>26.3</v>
      </c>
      <c r="AD47" s="5">
        <v>3682</v>
      </c>
      <c r="AE47" s="5">
        <v>184.11999946594239</v>
      </c>
      <c r="AF47" s="5">
        <v>3487.933</v>
      </c>
      <c r="AG47" s="5">
        <v>174.39660000000001</v>
      </c>
      <c r="AH47" s="5">
        <v>0</v>
      </c>
      <c r="AI47" s="4">
        <v>2739.6672000000003</v>
      </c>
      <c r="AJ47" s="4">
        <v>136.98319999999998</v>
      </c>
      <c r="AK47" s="4">
        <v>2876.6504000000004</v>
      </c>
      <c r="AL47" s="4">
        <v>132</v>
      </c>
      <c r="AM47" s="4">
        <v>3776.1590000000001</v>
      </c>
      <c r="AN47" s="4">
        <v>3964.9670000000001</v>
      </c>
      <c r="AO47" s="6">
        <v>0</v>
      </c>
      <c r="AP47" s="6">
        <v>142</v>
      </c>
      <c r="AQ47" s="6">
        <v>0</v>
      </c>
      <c r="AR47" s="5">
        <v>0</v>
      </c>
      <c r="AU47" s="2" t="s">
        <v>3</v>
      </c>
      <c r="AV47" s="2" t="s">
        <v>4</v>
      </c>
    </row>
    <row r="48" spans="1:50" ht="15" customHeight="1" x14ac:dyDescent="0.1">
      <c r="A48" s="1">
        <v>12083</v>
      </c>
      <c r="B48" s="2" t="s">
        <v>105</v>
      </c>
      <c r="C48" s="2" t="s">
        <v>18</v>
      </c>
      <c r="D48" s="6">
        <v>13</v>
      </c>
      <c r="E48" s="6">
        <v>0</v>
      </c>
      <c r="F48" s="6">
        <v>10</v>
      </c>
      <c r="G48" s="6">
        <v>10</v>
      </c>
      <c r="H48" s="6">
        <v>3</v>
      </c>
      <c r="I48" s="3">
        <v>0</v>
      </c>
      <c r="J48" s="3">
        <v>0</v>
      </c>
      <c r="K48" s="6">
        <v>0</v>
      </c>
      <c r="L48" s="4">
        <v>6</v>
      </c>
      <c r="M48" s="5">
        <v>106.85</v>
      </c>
      <c r="N48" s="5">
        <v>100.97849999999998</v>
      </c>
      <c r="O48" s="5">
        <v>4.8084999999999996</v>
      </c>
      <c r="P48" s="5">
        <v>371.6798</v>
      </c>
      <c r="Q48" s="5">
        <v>353.98079999999999</v>
      </c>
      <c r="R48" s="5">
        <v>17.699000000000002</v>
      </c>
      <c r="S48" s="5">
        <v>367.2</v>
      </c>
      <c r="T48" s="5">
        <v>0</v>
      </c>
      <c r="U48" s="6">
        <v>0</v>
      </c>
      <c r="V48" s="6">
        <v>0</v>
      </c>
      <c r="W48" s="5">
        <v>0</v>
      </c>
      <c r="X48" s="5">
        <v>0</v>
      </c>
      <c r="Y48" s="5">
        <v>0</v>
      </c>
      <c r="Z48" s="6">
        <v>0</v>
      </c>
      <c r="AA48" s="6">
        <v>0</v>
      </c>
      <c r="AB48" s="6">
        <v>0</v>
      </c>
      <c r="AC48" s="5">
        <v>32.056666666666665</v>
      </c>
      <c r="AD48" s="5">
        <v>0</v>
      </c>
      <c r="AE48" s="5">
        <v>0</v>
      </c>
      <c r="AF48" s="5">
        <v>353.98079999999999</v>
      </c>
      <c r="AG48" s="5">
        <v>17.699000000000002</v>
      </c>
      <c r="AH48" s="5">
        <v>0</v>
      </c>
      <c r="AI48" s="4">
        <v>220.32</v>
      </c>
      <c r="AJ48" s="4">
        <v>11.016</v>
      </c>
      <c r="AK48" s="4">
        <v>231.33599999999998</v>
      </c>
      <c r="AL48" s="4">
        <v>12</v>
      </c>
      <c r="AM48" s="4">
        <v>367.2</v>
      </c>
      <c r="AN48" s="4">
        <v>385.56</v>
      </c>
      <c r="AO48" s="6">
        <v>0</v>
      </c>
      <c r="AP48" s="6">
        <v>10</v>
      </c>
      <c r="AQ48" s="6">
        <v>0</v>
      </c>
      <c r="AR48" s="5">
        <v>0</v>
      </c>
      <c r="AU48" s="2" t="s">
        <v>3</v>
      </c>
      <c r="AV48" s="2" t="s">
        <v>4</v>
      </c>
    </row>
    <row r="49" spans="1:48" ht="15" customHeight="1" x14ac:dyDescent="0.1">
      <c r="A49" s="1">
        <v>22301</v>
      </c>
      <c r="B49" s="2" t="s">
        <v>106</v>
      </c>
      <c r="C49" s="2" t="s">
        <v>18</v>
      </c>
      <c r="I49" s="3">
        <v>0</v>
      </c>
      <c r="J49" s="3">
        <v>0</v>
      </c>
      <c r="L49" s="4">
        <v>0</v>
      </c>
      <c r="AH49" s="5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P49" s="6">
        <v>0</v>
      </c>
      <c r="AU49" s="2" t="s">
        <v>3</v>
      </c>
      <c r="AV49" s="2" t="s">
        <v>4</v>
      </c>
    </row>
    <row r="50" spans="1:48" ht="15" customHeight="1" x14ac:dyDescent="0.1">
      <c r="A50" s="1">
        <v>22667</v>
      </c>
      <c r="B50" s="2" t="s">
        <v>107</v>
      </c>
      <c r="C50" s="2" t="s">
        <v>18</v>
      </c>
      <c r="D50" s="6">
        <v>20</v>
      </c>
      <c r="E50" s="6">
        <v>30</v>
      </c>
      <c r="F50" s="6">
        <v>28</v>
      </c>
      <c r="G50" s="6">
        <v>28</v>
      </c>
      <c r="H50" s="6">
        <v>22</v>
      </c>
      <c r="I50" s="3">
        <v>0</v>
      </c>
      <c r="J50" s="3">
        <v>0</v>
      </c>
      <c r="K50" s="6">
        <v>0</v>
      </c>
      <c r="L50" s="4">
        <v>21</v>
      </c>
      <c r="M50" s="5">
        <v>1940.1799999999998</v>
      </c>
      <c r="N50" s="5">
        <v>1833.4470000000001</v>
      </c>
      <c r="O50" s="5">
        <v>87.307000000000002</v>
      </c>
      <c r="P50" s="5">
        <v>2226.0919999999996</v>
      </c>
      <c r="Q50" s="5">
        <v>2120.0875999999998</v>
      </c>
      <c r="R50" s="5">
        <v>106.0044</v>
      </c>
      <c r="S50" s="5">
        <v>2204.75</v>
      </c>
      <c r="T50" s="5">
        <v>0</v>
      </c>
      <c r="U50" s="6">
        <v>0</v>
      </c>
      <c r="V50" s="6">
        <v>0</v>
      </c>
      <c r="W50" s="5">
        <v>2500.1599987792974</v>
      </c>
      <c r="X50" s="5">
        <v>2381.1000000000004</v>
      </c>
      <c r="Y50" s="5">
        <v>119.05999877929688</v>
      </c>
      <c r="Z50" s="6">
        <v>0</v>
      </c>
      <c r="AA50" s="6">
        <v>0</v>
      </c>
      <c r="AB50" s="6">
        <v>0</v>
      </c>
      <c r="AC50" s="5">
        <v>79.37</v>
      </c>
      <c r="AD50" s="5">
        <v>2381.1000000000004</v>
      </c>
      <c r="AE50" s="5">
        <v>119.05999877929688</v>
      </c>
      <c r="AF50" s="5">
        <v>2120.0875999999998</v>
      </c>
      <c r="AG50" s="5">
        <v>106.0044</v>
      </c>
      <c r="AH50" s="5">
        <v>0</v>
      </c>
      <c r="AI50" s="4">
        <v>1693.2480000000005</v>
      </c>
      <c r="AJ50" s="4">
        <v>84.662600000000012</v>
      </c>
      <c r="AK50" s="4">
        <v>1777.9106000000006</v>
      </c>
      <c r="AL50" s="4">
        <v>9</v>
      </c>
      <c r="AM50" s="4">
        <v>764.07820000000004</v>
      </c>
      <c r="AN50" s="4">
        <v>802.28219999999999</v>
      </c>
      <c r="AO50" s="6">
        <v>0</v>
      </c>
      <c r="AP50" s="6">
        <v>28</v>
      </c>
      <c r="AQ50" s="6">
        <v>0</v>
      </c>
      <c r="AR50" s="5">
        <v>0</v>
      </c>
      <c r="AU50" s="2" t="s">
        <v>3</v>
      </c>
      <c r="AV50" s="2" t="s">
        <v>4</v>
      </c>
    </row>
    <row r="51" spans="1:48" ht="15" customHeight="1" x14ac:dyDescent="0.1">
      <c r="A51" s="1">
        <v>30840</v>
      </c>
      <c r="B51" s="2" t="s">
        <v>108</v>
      </c>
      <c r="C51" s="2" t="s">
        <v>67</v>
      </c>
      <c r="D51" s="6">
        <v>16</v>
      </c>
      <c r="E51" s="6">
        <v>60</v>
      </c>
      <c r="F51" s="6">
        <v>67</v>
      </c>
      <c r="G51" s="6">
        <v>67</v>
      </c>
      <c r="H51" s="6">
        <v>9</v>
      </c>
      <c r="I51" s="3">
        <v>0</v>
      </c>
      <c r="J51" s="3">
        <v>0</v>
      </c>
      <c r="K51" s="6">
        <v>0</v>
      </c>
      <c r="L51" s="4">
        <v>6</v>
      </c>
      <c r="M51" s="5">
        <v>3774.82</v>
      </c>
      <c r="N51" s="5">
        <v>3567.2070000000003</v>
      </c>
      <c r="O51" s="5">
        <v>169.86699999999999</v>
      </c>
      <c r="P51" s="5">
        <v>25959.929400000001</v>
      </c>
      <c r="Q51" s="5">
        <v>24723.742399999999</v>
      </c>
      <c r="R51" s="5">
        <v>1236.1869999999999</v>
      </c>
      <c r="S51" s="5">
        <v>24998.300000000003</v>
      </c>
      <c r="T51" s="5">
        <v>0</v>
      </c>
      <c r="U51" s="6">
        <v>0</v>
      </c>
      <c r="V51" s="6">
        <v>0</v>
      </c>
      <c r="W51" s="5">
        <v>24023.819994506837</v>
      </c>
      <c r="X51" s="5">
        <v>22879.800000000003</v>
      </c>
      <c r="Y51" s="5">
        <v>1144.0199945068357</v>
      </c>
      <c r="Z51" s="6">
        <v>0</v>
      </c>
      <c r="AA51" s="6">
        <v>0</v>
      </c>
      <c r="AB51" s="6">
        <v>0</v>
      </c>
      <c r="AC51" s="5">
        <v>377.48222222222216</v>
      </c>
      <c r="AD51" s="5">
        <v>22879.800000000003</v>
      </c>
      <c r="AE51" s="5">
        <v>1144.0199945068357</v>
      </c>
      <c r="AF51" s="5">
        <v>24723.742399999999</v>
      </c>
      <c r="AG51" s="5">
        <v>1236.1869999999999</v>
      </c>
      <c r="AH51" s="5">
        <v>0</v>
      </c>
      <c r="AI51" s="4">
        <v>2443.9016000000001</v>
      </c>
      <c r="AJ51" s="4">
        <v>122.19499999999999</v>
      </c>
      <c r="AK51" s="4">
        <v>2566.0966000000003</v>
      </c>
      <c r="AL51" s="4">
        <v>21</v>
      </c>
      <c r="AM51" s="4">
        <v>8193.8814000000002</v>
      </c>
      <c r="AN51" s="4">
        <v>8603.5753999999997</v>
      </c>
      <c r="AO51" s="6">
        <v>0</v>
      </c>
      <c r="AP51" s="6">
        <v>67</v>
      </c>
      <c r="AQ51" s="6">
        <v>0</v>
      </c>
      <c r="AR51" s="5">
        <v>0</v>
      </c>
      <c r="AU51" s="2" t="s">
        <v>3</v>
      </c>
      <c r="AV51" s="2" t="s">
        <v>4</v>
      </c>
    </row>
    <row r="52" spans="1:48" ht="15" customHeight="1" x14ac:dyDescent="0.1">
      <c r="A52" s="1">
        <v>27155</v>
      </c>
      <c r="B52" s="2" t="s">
        <v>109</v>
      </c>
      <c r="C52" s="2" t="s">
        <v>18</v>
      </c>
      <c r="I52" s="3">
        <v>0</v>
      </c>
      <c r="J52" s="3">
        <v>0</v>
      </c>
      <c r="L52" s="4">
        <v>0</v>
      </c>
      <c r="AH52" s="5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P52" s="6">
        <v>0</v>
      </c>
      <c r="AU52" s="2" t="s">
        <v>3</v>
      </c>
      <c r="AV52" s="2" t="s">
        <v>4</v>
      </c>
    </row>
    <row r="53" spans="1:48" ht="15" customHeight="1" x14ac:dyDescent="0.1">
      <c r="A53" s="1">
        <v>14833</v>
      </c>
      <c r="B53" s="2" t="s">
        <v>110</v>
      </c>
      <c r="C53" s="2" t="s">
        <v>18</v>
      </c>
      <c r="I53" s="3">
        <v>0</v>
      </c>
      <c r="J53" s="3">
        <v>0</v>
      </c>
      <c r="L53" s="4">
        <v>0</v>
      </c>
      <c r="AH53" s="5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P53" s="6">
        <v>0</v>
      </c>
      <c r="AU53" s="2" t="s">
        <v>3</v>
      </c>
      <c r="AV53" s="2" t="s">
        <v>4</v>
      </c>
    </row>
    <row r="54" spans="1:48" ht="15" customHeight="1" x14ac:dyDescent="0.1">
      <c r="A54" s="1">
        <v>14834</v>
      </c>
      <c r="B54" s="2" t="s">
        <v>111</v>
      </c>
      <c r="C54" s="2" t="s">
        <v>18</v>
      </c>
      <c r="D54" s="6">
        <v>10</v>
      </c>
      <c r="E54" s="6">
        <v>0</v>
      </c>
      <c r="F54" s="6">
        <v>0</v>
      </c>
      <c r="H54" s="6">
        <v>10</v>
      </c>
      <c r="I54" s="3">
        <v>0</v>
      </c>
      <c r="J54" s="3">
        <v>0</v>
      </c>
      <c r="K54" s="6">
        <v>0</v>
      </c>
      <c r="L54" s="4">
        <v>0</v>
      </c>
      <c r="M54" s="5">
        <v>250.7</v>
      </c>
      <c r="N54" s="5">
        <v>236.88</v>
      </c>
      <c r="O54" s="5">
        <v>11.28</v>
      </c>
      <c r="P54" s="5">
        <v>0</v>
      </c>
      <c r="Q54" s="5">
        <v>0</v>
      </c>
      <c r="R54" s="5">
        <v>0</v>
      </c>
      <c r="T54" s="5">
        <v>0</v>
      </c>
      <c r="U54" s="6">
        <v>0</v>
      </c>
      <c r="V54" s="6">
        <v>0</v>
      </c>
      <c r="W54" s="5">
        <v>0</v>
      </c>
      <c r="X54" s="5">
        <v>0</v>
      </c>
      <c r="Y54" s="5">
        <v>0</v>
      </c>
      <c r="Z54" s="6">
        <v>0</v>
      </c>
      <c r="AA54" s="6">
        <v>0</v>
      </c>
      <c r="AB54" s="6">
        <v>0</v>
      </c>
      <c r="AC54" s="5">
        <v>22.56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4">
        <v>0</v>
      </c>
      <c r="AJ54" s="4">
        <v>0</v>
      </c>
      <c r="AK54" s="4">
        <v>0</v>
      </c>
      <c r="AL54" s="4">
        <v>0</v>
      </c>
      <c r="AM54" s="4">
        <v>2.3999999999944066E-3</v>
      </c>
      <c r="AN54" s="4">
        <v>-2.4000000000050647E-3</v>
      </c>
      <c r="AP54" s="6">
        <v>0</v>
      </c>
      <c r="AQ54" s="6">
        <v>0</v>
      </c>
      <c r="AR54" s="5">
        <v>0</v>
      </c>
      <c r="AU54" s="2" t="s">
        <v>3</v>
      </c>
      <c r="AV54" s="2" t="s">
        <v>4</v>
      </c>
    </row>
    <row r="55" spans="1:48" ht="15" customHeight="1" x14ac:dyDescent="0.1">
      <c r="A55" s="1">
        <v>23031</v>
      </c>
      <c r="B55" s="2" t="s">
        <v>112</v>
      </c>
      <c r="C55" s="2" t="s">
        <v>18</v>
      </c>
      <c r="D55" s="6">
        <v>20</v>
      </c>
      <c r="E55" s="6">
        <v>0</v>
      </c>
      <c r="F55" s="6">
        <v>0</v>
      </c>
      <c r="H55" s="6">
        <v>20</v>
      </c>
      <c r="I55" s="3">
        <v>0</v>
      </c>
      <c r="J55" s="3">
        <v>0</v>
      </c>
      <c r="K55" s="6">
        <v>0</v>
      </c>
      <c r="L55" s="4">
        <v>0</v>
      </c>
      <c r="M55" s="5">
        <v>537.79999999999995</v>
      </c>
      <c r="N55" s="5">
        <v>508.2</v>
      </c>
      <c r="O55" s="5">
        <v>24.200000000000003</v>
      </c>
      <c r="P55" s="5">
        <v>0</v>
      </c>
      <c r="Q55" s="5">
        <v>0</v>
      </c>
      <c r="R55" s="5">
        <v>0</v>
      </c>
      <c r="T55" s="5">
        <v>0</v>
      </c>
      <c r="U55" s="6">
        <v>0</v>
      </c>
      <c r="V55" s="6">
        <v>0</v>
      </c>
      <c r="W55" s="5">
        <v>0</v>
      </c>
      <c r="X55" s="5">
        <v>0</v>
      </c>
      <c r="Y55" s="5">
        <v>0</v>
      </c>
      <c r="Z55" s="6">
        <v>0</v>
      </c>
      <c r="AA55" s="6">
        <v>0</v>
      </c>
      <c r="AB55" s="6">
        <v>0</v>
      </c>
      <c r="AC55" s="5">
        <v>24.2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P55" s="6">
        <v>0</v>
      </c>
      <c r="AQ55" s="6">
        <v>0</v>
      </c>
      <c r="AR55" s="5">
        <v>0</v>
      </c>
      <c r="AU55" s="2" t="s">
        <v>3</v>
      </c>
      <c r="AV55" s="2" t="s">
        <v>4</v>
      </c>
    </row>
    <row r="56" spans="1:48" ht="15" customHeight="1" x14ac:dyDescent="0.1">
      <c r="A56" s="1">
        <v>22302</v>
      </c>
      <c r="B56" s="2" t="s">
        <v>113</v>
      </c>
      <c r="C56" s="2" t="s">
        <v>18</v>
      </c>
      <c r="I56" s="3">
        <v>0</v>
      </c>
      <c r="J56" s="3">
        <v>0</v>
      </c>
      <c r="L56" s="4">
        <v>0</v>
      </c>
      <c r="AH56" s="5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P56" s="6">
        <v>0</v>
      </c>
      <c r="AU56" s="2" t="s">
        <v>3</v>
      </c>
      <c r="AV56" s="2" t="s">
        <v>4</v>
      </c>
    </row>
    <row r="57" spans="1:48" ht="15" customHeight="1" x14ac:dyDescent="0.1">
      <c r="A57" s="1">
        <v>21388</v>
      </c>
      <c r="B57" s="2" t="s">
        <v>114</v>
      </c>
      <c r="C57" s="2" t="s">
        <v>18</v>
      </c>
      <c r="I57" s="3">
        <v>0</v>
      </c>
      <c r="J57" s="3">
        <v>0</v>
      </c>
      <c r="L57" s="4">
        <v>0</v>
      </c>
      <c r="AH57" s="5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P57" s="6">
        <v>0</v>
      </c>
      <c r="AU57" s="2" t="s">
        <v>3</v>
      </c>
      <c r="AV57" s="2" t="s">
        <v>4</v>
      </c>
    </row>
    <row r="58" spans="1:48" ht="15" customHeight="1" x14ac:dyDescent="0.1">
      <c r="A58" s="1">
        <v>22669</v>
      </c>
      <c r="B58" s="2" t="s">
        <v>115</v>
      </c>
      <c r="C58" s="2" t="s">
        <v>18</v>
      </c>
      <c r="D58" s="6">
        <v>12</v>
      </c>
      <c r="E58" s="6">
        <v>10</v>
      </c>
      <c r="F58" s="6">
        <v>11</v>
      </c>
      <c r="G58" s="6">
        <v>11</v>
      </c>
      <c r="H58" s="6">
        <v>11</v>
      </c>
      <c r="I58" s="3">
        <v>0</v>
      </c>
      <c r="J58" s="3">
        <v>0</v>
      </c>
      <c r="K58" s="6">
        <v>0</v>
      </c>
      <c r="L58" s="4">
        <v>18</v>
      </c>
      <c r="M58" s="5">
        <v>299.28999999999996</v>
      </c>
      <c r="N58" s="5">
        <v>283.64699999999999</v>
      </c>
      <c r="O58" s="5">
        <v>13.507000000000001</v>
      </c>
      <c r="P58" s="5">
        <v>305.80330000000004</v>
      </c>
      <c r="Q58" s="5">
        <v>291.24130000000002</v>
      </c>
      <c r="R58" s="5">
        <v>14.562000000000001</v>
      </c>
      <c r="S58" s="5">
        <v>300.08000000000004</v>
      </c>
      <c r="T58" s="5">
        <v>0</v>
      </c>
      <c r="U58" s="6">
        <v>0</v>
      </c>
      <c r="V58" s="6">
        <v>0</v>
      </c>
      <c r="W58" s="5">
        <v>257.77999986648558</v>
      </c>
      <c r="X58" s="5">
        <v>245.5</v>
      </c>
      <c r="Y58" s="5">
        <v>12.279999866485596</v>
      </c>
      <c r="Z58" s="6">
        <v>0</v>
      </c>
      <c r="AA58" s="6">
        <v>0</v>
      </c>
      <c r="AB58" s="6">
        <v>0</v>
      </c>
      <c r="AC58" s="5">
        <v>24.558181818181819</v>
      </c>
      <c r="AD58" s="5">
        <v>245.5</v>
      </c>
      <c r="AE58" s="5">
        <v>12.279999866485596</v>
      </c>
      <c r="AF58" s="5">
        <v>291.24130000000002</v>
      </c>
      <c r="AG58" s="5">
        <v>14.562000000000001</v>
      </c>
      <c r="AH58" s="5">
        <v>0</v>
      </c>
      <c r="AI58" s="4">
        <v>487.78560000000004</v>
      </c>
      <c r="AJ58" s="4">
        <v>24.389200000000002</v>
      </c>
      <c r="AK58" s="4">
        <v>512.1748</v>
      </c>
      <c r="AL58" s="4">
        <v>0</v>
      </c>
      <c r="AM58" s="4">
        <v>0</v>
      </c>
      <c r="AN58" s="4">
        <v>0</v>
      </c>
      <c r="AO58" s="6">
        <v>0</v>
      </c>
      <c r="AP58" s="6">
        <v>11</v>
      </c>
      <c r="AQ58" s="6">
        <v>0</v>
      </c>
      <c r="AR58" s="5">
        <v>0</v>
      </c>
      <c r="AU58" s="2" t="s">
        <v>3</v>
      </c>
      <c r="AV58" s="2" t="s">
        <v>4</v>
      </c>
    </row>
    <row r="59" spans="1:48" ht="15" customHeight="1" x14ac:dyDescent="0.1">
      <c r="A59" s="1">
        <v>22670</v>
      </c>
      <c r="B59" s="2" t="s">
        <v>116</v>
      </c>
      <c r="C59" s="2" t="s">
        <v>117</v>
      </c>
      <c r="I59" s="3">
        <v>0</v>
      </c>
      <c r="J59" s="3">
        <v>0</v>
      </c>
      <c r="L59" s="4">
        <v>0</v>
      </c>
      <c r="AH59" s="5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P59" s="6">
        <v>0</v>
      </c>
      <c r="AU59" s="2" t="s">
        <v>3</v>
      </c>
      <c r="AV59" s="2" t="s">
        <v>4</v>
      </c>
    </row>
    <row r="60" spans="1:48" ht="15" customHeight="1" x14ac:dyDescent="0.1">
      <c r="A60" s="1">
        <v>31331</v>
      </c>
      <c r="B60" s="2" t="s">
        <v>118</v>
      </c>
      <c r="C60" s="2" t="s">
        <v>18</v>
      </c>
      <c r="I60" s="3">
        <v>0</v>
      </c>
      <c r="J60" s="3">
        <v>0</v>
      </c>
      <c r="L60" s="4">
        <v>0</v>
      </c>
      <c r="AH60" s="5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P60" s="6">
        <v>0</v>
      </c>
      <c r="AU60" s="2" t="s">
        <v>3</v>
      </c>
      <c r="AV60" s="2" t="s">
        <v>4</v>
      </c>
    </row>
    <row r="61" spans="1:48" ht="15" customHeight="1" x14ac:dyDescent="0.1">
      <c r="A61" s="1">
        <v>12561</v>
      </c>
      <c r="B61" s="2" t="s">
        <v>119</v>
      </c>
      <c r="C61" s="2" t="s">
        <v>18</v>
      </c>
      <c r="D61" s="6">
        <v>1</v>
      </c>
      <c r="E61" s="6">
        <v>0</v>
      </c>
      <c r="F61" s="6">
        <v>0</v>
      </c>
      <c r="H61" s="6">
        <v>1</v>
      </c>
      <c r="I61" s="3">
        <v>0</v>
      </c>
      <c r="J61" s="3">
        <v>0</v>
      </c>
      <c r="K61" s="6">
        <v>0</v>
      </c>
      <c r="L61" s="4">
        <v>0</v>
      </c>
      <c r="M61" s="5">
        <v>45.43</v>
      </c>
      <c r="N61" s="5">
        <v>42.9345</v>
      </c>
      <c r="O61" s="5">
        <v>2.0445000000000002</v>
      </c>
      <c r="P61" s="5">
        <v>0</v>
      </c>
      <c r="Q61" s="5">
        <v>0</v>
      </c>
      <c r="R61" s="5">
        <v>0</v>
      </c>
      <c r="T61" s="5">
        <v>0</v>
      </c>
      <c r="U61" s="6">
        <v>0</v>
      </c>
      <c r="V61" s="6">
        <v>0</v>
      </c>
      <c r="W61" s="5">
        <v>0</v>
      </c>
      <c r="X61" s="5">
        <v>0</v>
      </c>
      <c r="Y61" s="5">
        <v>0</v>
      </c>
      <c r="Z61" s="6">
        <v>0</v>
      </c>
      <c r="AA61" s="6">
        <v>0</v>
      </c>
      <c r="AB61" s="6">
        <v>0</v>
      </c>
      <c r="AC61" s="5">
        <v>40.89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P61" s="6">
        <v>0</v>
      </c>
      <c r="AQ61" s="6">
        <v>0</v>
      </c>
      <c r="AR61" s="5">
        <v>0</v>
      </c>
      <c r="AU61" s="2" t="s">
        <v>3</v>
      </c>
      <c r="AV61" s="2" t="s">
        <v>4</v>
      </c>
    </row>
    <row r="62" spans="1:48" ht="15" customHeight="1" x14ac:dyDescent="0.1">
      <c r="A62" s="1">
        <v>12562</v>
      </c>
      <c r="B62" s="2" t="s">
        <v>120</v>
      </c>
      <c r="C62" s="2" t="s">
        <v>18</v>
      </c>
      <c r="I62" s="3">
        <v>0</v>
      </c>
      <c r="J62" s="3">
        <v>0</v>
      </c>
      <c r="L62" s="4">
        <v>0</v>
      </c>
      <c r="AH62" s="5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P62" s="6">
        <v>0</v>
      </c>
      <c r="AQ62" s="6">
        <v>0</v>
      </c>
      <c r="AR62" s="5">
        <v>0</v>
      </c>
      <c r="AU62" s="2" t="s">
        <v>3</v>
      </c>
      <c r="AV62" s="2" t="s">
        <v>4</v>
      </c>
    </row>
    <row r="63" spans="1:48" ht="15" customHeight="1" x14ac:dyDescent="0.1">
      <c r="A63" s="1">
        <v>12563</v>
      </c>
      <c r="B63" s="2" t="s">
        <v>121</v>
      </c>
      <c r="C63" s="2" t="s">
        <v>18</v>
      </c>
      <c r="D63" s="6">
        <v>16</v>
      </c>
      <c r="E63" s="6">
        <v>20</v>
      </c>
      <c r="F63" s="6">
        <v>15</v>
      </c>
      <c r="G63" s="6">
        <v>15</v>
      </c>
      <c r="H63" s="6">
        <v>21</v>
      </c>
      <c r="I63" s="3">
        <v>0</v>
      </c>
      <c r="J63" s="3">
        <v>0</v>
      </c>
      <c r="K63" s="6">
        <v>0</v>
      </c>
      <c r="L63" s="4">
        <v>3</v>
      </c>
      <c r="M63" s="5">
        <v>1657.5800000000002</v>
      </c>
      <c r="N63" s="5">
        <v>1566.3689999999999</v>
      </c>
      <c r="O63" s="5">
        <v>74.588999999999999</v>
      </c>
      <c r="P63" s="5">
        <v>1192.1488999999999</v>
      </c>
      <c r="Q63" s="5">
        <v>1135.3798999999999</v>
      </c>
      <c r="R63" s="5">
        <v>56.768999999999998</v>
      </c>
      <c r="S63" s="5">
        <v>1177.7800000000002</v>
      </c>
      <c r="T63" s="5">
        <v>0</v>
      </c>
      <c r="U63" s="6">
        <v>0</v>
      </c>
      <c r="V63" s="6">
        <v>0</v>
      </c>
      <c r="W63" s="5">
        <v>1492.6800009155272</v>
      </c>
      <c r="X63" s="5">
        <v>1421.6</v>
      </c>
      <c r="Y63" s="5">
        <v>71.080000915527336</v>
      </c>
      <c r="Z63" s="6">
        <v>0</v>
      </c>
      <c r="AA63" s="6">
        <v>0</v>
      </c>
      <c r="AB63" s="6">
        <v>0</v>
      </c>
      <c r="AC63" s="5">
        <v>71.037142857142868</v>
      </c>
      <c r="AD63" s="5">
        <v>1421.6</v>
      </c>
      <c r="AE63" s="5">
        <v>71.080000915527336</v>
      </c>
      <c r="AF63" s="5">
        <v>1135.3798999999999</v>
      </c>
      <c r="AG63" s="5">
        <v>56.768999999999998</v>
      </c>
      <c r="AH63" s="5">
        <v>0</v>
      </c>
      <c r="AI63" s="4">
        <v>235.44</v>
      </c>
      <c r="AJ63" s="4">
        <v>11.772</v>
      </c>
      <c r="AK63" s="4">
        <v>247.21199999999999</v>
      </c>
      <c r="AL63" s="4">
        <v>9</v>
      </c>
      <c r="AM63" s="4">
        <v>680.89249999999993</v>
      </c>
      <c r="AN63" s="4">
        <v>714.93709999999987</v>
      </c>
      <c r="AO63" s="6">
        <v>0</v>
      </c>
      <c r="AP63" s="6">
        <v>15</v>
      </c>
      <c r="AQ63" s="6">
        <v>0</v>
      </c>
      <c r="AR63" s="5">
        <v>0</v>
      </c>
      <c r="AU63" s="2" t="s">
        <v>3</v>
      </c>
      <c r="AV63" s="2" t="s">
        <v>4</v>
      </c>
    </row>
    <row r="64" spans="1:48" ht="15" customHeight="1" x14ac:dyDescent="0.1">
      <c r="A64" s="1">
        <v>23262</v>
      </c>
      <c r="B64" s="2" t="s">
        <v>122</v>
      </c>
      <c r="C64" s="2" t="s">
        <v>83</v>
      </c>
      <c r="I64" s="3">
        <v>0</v>
      </c>
      <c r="J64" s="3">
        <v>0</v>
      </c>
      <c r="L64" s="4">
        <v>0</v>
      </c>
      <c r="AH64" s="5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P64" s="6">
        <v>0</v>
      </c>
      <c r="AU64" s="2" t="s">
        <v>3</v>
      </c>
      <c r="AV64" s="2" t="s">
        <v>4</v>
      </c>
    </row>
    <row r="65" spans="1:50" s="14" customFormat="1" ht="15" customHeight="1" x14ac:dyDescent="0.1">
      <c r="A65" s="15"/>
      <c r="B65" s="16"/>
      <c r="C65" s="16"/>
      <c r="D65" s="17">
        <v>757</v>
      </c>
      <c r="E65" s="17">
        <v>710</v>
      </c>
      <c r="F65" s="17">
        <v>768</v>
      </c>
      <c r="G65" s="17">
        <v>763</v>
      </c>
      <c r="H65" s="17">
        <v>703</v>
      </c>
      <c r="I65" s="18">
        <v>0</v>
      </c>
      <c r="J65" s="18">
        <v>0</v>
      </c>
      <c r="K65" s="17">
        <v>0</v>
      </c>
      <c r="L65" s="19">
        <v>585</v>
      </c>
      <c r="M65" s="20">
        <v>76677.759999999995</v>
      </c>
      <c r="N65" s="20">
        <v>72474.349499999982</v>
      </c>
      <c r="O65" s="20">
        <v>3451.1594999999998</v>
      </c>
      <c r="P65" s="20">
        <v>80377.977499999979</v>
      </c>
      <c r="Q65" s="20">
        <v>76550.460699999996</v>
      </c>
      <c r="R65" s="20">
        <v>3827.5168000000003</v>
      </c>
      <c r="S65" s="20">
        <v>78331.97</v>
      </c>
      <c r="T65" s="20">
        <v>0</v>
      </c>
      <c r="U65" s="17">
        <v>-1</v>
      </c>
      <c r="V65" s="17">
        <v>17</v>
      </c>
      <c r="W65" s="20">
        <v>74631.640002136221</v>
      </c>
      <c r="X65" s="20">
        <v>71077.62</v>
      </c>
      <c r="Y65" s="20">
        <v>3554.0200021362307</v>
      </c>
      <c r="Z65" s="17">
        <v>0</v>
      </c>
      <c r="AA65" s="17">
        <v>0</v>
      </c>
      <c r="AB65" s="17">
        <v>-5</v>
      </c>
      <c r="AC65" s="20">
        <v>3457.10751468935</v>
      </c>
      <c r="AD65" s="20">
        <v>71077.62</v>
      </c>
      <c r="AE65" s="20">
        <v>3554.0200021362307</v>
      </c>
      <c r="AF65" s="20">
        <v>77157.950700000001</v>
      </c>
      <c r="AG65" s="20">
        <v>3857.8968</v>
      </c>
      <c r="AH65" s="20">
        <v>0</v>
      </c>
      <c r="AI65" s="19">
        <v>46123.347400000006</v>
      </c>
      <c r="AJ65" s="19">
        <v>2306.1680000000006</v>
      </c>
      <c r="AK65" s="19">
        <v>48429.515400000004</v>
      </c>
      <c r="AL65" s="19">
        <v>570</v>
      </c>
      <c r="AM65" s="19">
        <v>42370.123500000002</v>
      </c>
      <c r="AN65" s="19">
        <v>44488.629100000006</v>
      </c>
      <c r="AO65" s="17">
        <v>0</v>
      </c>
      <c r="AP65" s="17">
        <v>763</v>
      </c>
      <c r="AQ65" s="17">
        <v>0</v>
      </c>
      <c r="AR65" s="20">
        <v>0</v>
      </c>
      <c r="AS65" s="16"/>
      <c r="AT65" s="16"/>
      <c r="AU65" s="16"/>
      <c r="AV65" s="16"/>
      <c r="AW65" s="16"/>
      <c r="AX65" s="16"/>
    </row>
  </sheetData>
  <mergeCells count="6">
    <mergeCell ref="A6:AX6"/>
    <mergeCell ref="A1:AX1"/>
    <mergeCell ref="A2:AX2"/>
    <mergeCell ref="A3:AX3"/>
    <mergeCell ref="A4:AX4"/>
    <mergeCell ref="A5:AX5"/>
  </mergeCells>
  <printOptions headings="1" gridLines="1"/>
  <pageMargins left="0" right="0" top="0" bottom="0" header="0" footer="0"/>
  <pageSetup paperSize="0" blackAndWhite="1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ABDUL</dc:creator>
  <cp:lastModifiedBy>X</cp:lastModifiedBy>
  <dcterms:created xsi:type="dcterms:W3CDTF">2026-08-01T04:11:38Z</dcterms:created>
  <dcterms:modified xsi:type="dcterms:W3CDTF">2026-08-01T04:11:38Z</dcterms:modified>
</cp:coreProperties>
</file>