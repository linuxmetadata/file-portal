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STATEMENT DERMA JULY 2026\"/>
    </mc:Choice>
  </mc:AlternateContent>
  <xr:revisionPtr revIDLastSave="0" documentId="13_ncr:1_{FB598247-E326-4FE5-B17B-F41CB2F4AF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_AND_SALE.xlsx" sheetId="3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4" i="3" l="1"/>
  <c r="S24" i="3"/>
  <c r="R24" i="3"/>
</calcChain>
</file>

<file path=xl/sharedStrings.xml><?xml version="1.0" encoding="utf-8"?>
<sst xmlns="http://schemas.openxmlformats.org/spreadsheetml/2006/main" count="56" uniqueCount="56">
  <si>
    <t>Product Name</t>
  </si>
  <si>
    <t>Opening Stock</t>
  </si>
  <si>
    <t>Opening Value</t>
  </si>
  <si>
    <t>Scheme Sale Quantity</t>
  </si>
  <si>
    <t>Return Quantity</t>
  </si>
  <si>
    <t>Closing Stock</t>
  </si>
  <si>
    <t>Closing Value</t>
  </si>
  <si>
    <t>MANDISA FOAM FACEWASH 100ML</t>
  </si>
  <si>
    <t>Total</t>
  </si>
  <si>
    <t/>
  </si>
  <si>
    <t>RioSaathi</t>
  </si>
  <si>
    <t xml:space="preserve">Company: </t>
  </si>
  <si>
    <t>LINUX LABORATORIES PVT LTD</t>
  </si>
  <si>
    <t xml:space="preserve">Download: </t>
  </si>
  <si>
    <t xml:space="preserve">Report From: </t>
  </si>
  <si>
    <t xml:space="preserve"> to </t>
  </si>
  <si>
    <t>Return Value</t>
  </si>
  <si>
    <t>Total Purchase Quantity</t>
  </si>
  <si>
    <t>Total Purchase Value</t>
  </si>
  <si>
    <t>Total Purchase Return Quantity</t>
  </si>
  <si>
    <t>Total Purchase Return Value</t>
  </si>
  <si>
    <t>Total Sales Quantity</t>
  </si>
  <si>
    <t>Total Sales Value</t>
  </si>
  <si>
    <t>Total Sales Return Quantity</t>
  </si>
  <si>
    <t>Total Sales Return Value</t>
  </si>
  <si>
    <t>Dermanex</t>
  </si>
  <si>
    <t xml:space="preserve">Division: </t>
  </si>
  <si>
    <t>HYDRAVO SKIN RENEWING MOIST 50gm</t>
  </si>
  <si>
    <t xml:space="preserve">LINUX MINOPEP ANTI HAIR FALL SHAMPOO 250ML </t>
  </si>
  <si>
    <t>LUMSE C PLUS SERUM 20 ML</t>
  </si>
  <si>
    <t>MINOPEP GOLD SOLUTION 60 ML</t>
  </si>
  <si>
    <t>RETIGLOW NIGHT SERUM 30ML</t>
  </si>
  <si>
    <t>IBGLOW SKIN LIGHTENING CREAM 20G</t>
  </si>
  <si>
    <t xml:space="preserve">IBGLOW HD TUBE of 15 GM CREAM </t>
  </si>
  <si>
    <t>IBGLOW ULTRA TUBE of 15 GM CREAM</t>
  </si>
  <si>
    <t>MINOFINA BOTTLE 60 ML SOLUTION</t>
  </si>
  <si>
    <t>MINOPEP 5% SOLUTION 90 ML</t>
  </si>
  <si>
    <t>MINOPEP EVA 2% SOLUTION</t>
  </si>
  <si>
    <t xml:space="preserve">MINOPEP SHAMPOO 250ML </t>
  </si>
  <si>
    <t>NEW LA-MATISSE HAIR REVITALIZING SERUM 90ML</t>
  </si>
  <si>
    <t>LA MATISSE REPAIR CONDITIONER Bottle of 100GM</t>
  </si>
  <si>
    <t>Stockiest: DC Agencies Pvt. Ltd. (Mr- Ggn-S18)</t>
  </si>
  <si>
    <t>MINOPEP CONDITIONER 100GM</t>
  </si>
  <si>
    <t>Transfer in quantity</t>
  </si>
  <si>
    <t>Transfer in Value</t>
  </si>
  <si>
    <t>Transfer out unit</t>
  </si>
  <si>
    <t>Transfer out Value</t>
  </si>
  <si>
    <t>LA-MATISSE HAIR REVITALIZING SERUM 90ML</t>
  </si>
  <si>
    <t>Lumise Cleanser 100gm</t>
  </si>
  <si>
    <t>TRANSFER IN QTY</t>
  </si>
  <si>
    <t xml:space="preserve">TRANFER IN VALUE </t>
  </si>
  <si>
    <t>TRANSFER OUT QTY</t>
  </si>
  <si>
    <t>TRANSFER OUT VALUE</t>
  </si>
  <si>
    <t>ADJUSTMENT QTY</t>
  </si>
  <si>
    <t>ADJUSTMENT VALUE</t>
  </si>
  <si>
    <t>SOFTSCREEN SPF50 MATTE TINTED SUNSCREEN GEL 30GM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</si>
</sst>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2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2E3539"/>
      <name val="Calibri"/>
      <family val="2"/>
      <scheme val="minor"/>
    </font>
    <font>
      <b/>
      <sz val="10"/>
      <color rgb="FF2E353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/>
    <xf numFmtId="15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"/>
  <sheetViews>
    <sheetView tabSelected="1" zoomScaleNormal="100" workbookViewId="0">
      <pane xSplit="1" ySplit="4" topLeftCell="K5" activePane="bottomRight" state="frozen"/>
      <selection pane="topRight" activeCell="B1" sqref="B1"/>
      <selection pane="bottomLeft" activeCell="A5" sqref="A5"/>
      <selection pane="bottomRight" activeCell="AC5" sqref="AC5"/>
    </sheetView>
  </sheetViews>
  <sheetFormatPr defaultRowHeight="14.4" x14ac:dyDescent="0.3"/>
  <cols>
    <col min="1" max="1" width="41.21875" customWidth="1"/>
    <col min="2" max="3" width="11.109375" customWidth="1"/>
    <col min="4" max="4" width="10.6640625" customWidth="1"/>
    <col min="5" max="5" width="9.5546875" customWidth="1"/>
    <col min="6" max="6" width="9.88671875" customWidth="1"/>
    <col min="7" max="7" width="11.21875" customWidth="1"/>
    <col min="8" max="8" width="9.21875" customWidth="1"/>
    <col min="9" max="9" width="12.77734375" customWidth="1"/>
    <col min="10" max="10" width="9.77734375" customWidth="1"/>
    <col min="11" max="11" width="11.33203125" customWidth="1"/>
    <col min="12" max="12" width="12" customWidth="1"/>
    <col min="13" max="13" width="11.21875" customWidth="1"/>
    <col min="14" max="14" width="9.5546875" customWidth="1"/>
    <col min="15" max="15" width="10.109375" style="1" bestFit="1" customWidth="1"/>
    <col min="16" max="16" width="7" bestFit="1" customWidth="1"/>
    <col min="17" max="17" width="8.109375" hidden="1" customWidth="1"/>
    <col min="18" max="18" width="9.88671875" hidden="1" customWidth="1"/>
    <col min="19" max="19" width="7.88671875" hidden="1" customWidth="1"/>
    <col min="20" max="20" width="9.109375" hidden="1" customWidth="1"/>
    <col min="21" max="21" width="10" style="13" customWidth="1"/>
    <col min="22" max="22" width="12.33203125" style="13" customWidth="1"/>
    <col min="23" max="23" width="13.44140625" style="13" customWidth="1"/>
    <col min="24" max="24" width="11.88671875" style="13" customWidth="1"/>
    <col min="25" max="25" width="13.109375" style="13" customWidth="1"/>
    <col min="26" max="26" width="12.33203125" style="13" customWidth="1"/>
  </cols>
  <sheetData>
    <row r="1" spans="1:29" s="2" customFormat="1" x14ac:dyDescent="0.3">
      <c r="A1" s="12"/>
      <c r="B1" s="12" t="s">
        <v>9</v>
      </c>
      <c r="C1" s="14" t="s">
        <v>10</v>
      </c>
      <c r="D1" s="15"/>
      <c r="E1" s="15"/>
      <c r="F1" s="15"/>
      <c r="G1" s="12"/>
      <c r="H1" s="12"/>
      <c r="I1" s="15"/>
      <c r="J1" s="15"/>
      <c r="K1" s="15"/>
      <c r="L1" s="15"/>
      <c r="M1" s="15"/>
      <c r="N1" s="15"/>
      <c r="O1" s="12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9" x14ac:dyDescent="0.3">
      <c r="A2" s="12" t="s">
        <v>41</v>
      </c>
      <c r="B2" s="12" t="s">
        <v>11</v>
      </c>
      <c r="C2" s="16" t="s">
        <v>12</v>
      </c>
      <c r="D2" s="17"/>
      <c r="E2" s="18" t="s">
        <v>26</v>
      </c>
      <c r="F2" s="18" t="s">
        <v>25</v>
      </c>
      <c r="G2" s="12"/>
      <c r="H2" s="12"/>
      <c r="I2" s="17"/>
      <c r="J2" s="17"/>
      <c r="K2" s="17"/>
      <c r="L2" s="12" t="s">
        <v>13</v>
      </c>
      <c r="M2" s="19">
        <v>46236</v>
      </c>
      <c r="N2" s="12"/>
      <c r="O2" s="12"/>
      <c r="P2" s="17"/>
      <c r="Q2" s="17"/>
      <c r="R2" s="17"/>
      <c r="S2" s="17"/>
      <c r="T2" s="17"/>
      <c r="U2" s="20"/>
      <c r="V2" s="20"/>
      <c r="W2" s="20"/>
      <c r="X2" s="20"/>
      <c r="Y2" s="20"/>
      <c r="Z2" s="20"/>
    </row>
    <row r="3" spans="1:29" x14ac:dyDescent="0.3">
      <c r="A3" s="18"/>
      <c r="B3" s="18"/>
      <c r="C3" s="18"/>
      <c r="D3" s="18"/>
      <c r="E3" s="18"/>
      <c r="F3" s="18"/>
      <c r="G3" s="18"/>
      <c r="H3" s="18"/>
      <c r="I3" s="17"/>
      <c r="J3" s="17"/>
      <c r="K3" s="17"/>
      <c r="L3" s="12" t="s">
        <v>14</v>
      </c>
      <c r="M3" s="19">
        <v>46204</v>
      </c>
      <c r="N3" s="12" t="s">
        <v>15</v>
      </c>
      <c r="O3" s="19">
        <v>46234</v>
      </c>
      <c r="P3" s="18"/>
      <c r="Q3" s="17"/>
      <c r="R3" s="17"/>
      <c r="S3" s="17"/>
      <c r="T3" s="17"/>
      <c r="U3" s="20"/>
      <c r="V3" s="20"/>
      <c r="W3" s="20"/>
      <c r="X3" s="20"/>
      <c r="Y3" s="20"/>
      <c r="Z3" s="20"/>
    </row>
    <row r="4" spans="1:29" s="7" customFormat="1" ht="57.6" x14ac:dyDescent="0.3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16</v>
      </c>
      <c r="G4" s="12" t="s">
        <v>17</v>
      </c>
      <c r="H4" s="12" t="s">
        <v>18</v>
      </c>
      <c r="I4" s="12" t="s">
        <v>19</v>
      </c>
      <c r="J4" s="12" t="s">
        <v>20</v>
      </c>
      <c r="K4" s="12" t="s">
        <v>21</v>
      </c>
      <c r="L4" s="12" t="s">
        <v>22</v>
      </c>
      <c r="M4" s="12" t="s">
        <v>23</v>
      </c>
      <c r="N4" s="12" t="s">
        <v>24</v>
      </c>
      <c r="O4" s="12" t="s">
        <v>5</v>
      </c>
      <c r="P4" s="12" t="s">
        <v>6</v>
      </c>
      <c r="Q4" s="12" t="s">
        <v>43</v>
      </c>
      <c r="R4" s="12" t="s">
        <v>44</v>
      </c>
      <c r="S4" s="12" t="s">
        <v>45</v>
      </c>
      <c r="T4" s="12" t="s">
        <v>46</v>
      </c>
      <c r="U4" s="12" t="s">
        <v>49</v>
      </c>
      <c r="V4" s="12" t="s">
        <v>50</v>
      </c>
      <c r="W4" s="12" t="s">
        <v>51</v>
      </c>
      <c r="X4" s="12" t="s">
        <v>52</v>
      </c>
      <c r="Y4" s="12" t="s">
        <v>53</v>
      </c>
      <c r="Z4" s="12" t="s">
        <v>54</v>
      </c>
    </row>
    <row r="5" spans="1:29" s="8" customFormat="1" ht="13.8" x14ac:dyDescent="0.3">
      <c r="A5" s="3" t="s">
        <v>27</v>
      </c>
      <c r="B5" s="4">
        <v>57</v>
      </c>
      <c r="C5" s="4">
        <v>21911</v>
      </c>
      <c r="D5" s="4"/>
      <c r="E5" s="4"/>
      <c r="F5" s="4"/>
      <c r="G5" s="4">
        <v>10</v>
      </c>
      <c r="H5" s="4">
        <v>3844</v>
      </c>
      <c r="I5" s="4"/>
      <c r="J5" s="4"/>
      <c r="K5" s="4">
        <v>30</v>
      </c>
      <c r="L5" s="4">
        <v>11532</v>
      </c>
      <c r="M5" s="4">
        <v>2</v>
      </c>
      <c r="N5" s="4">
        <v>768</v>
      </c>
      <c r="O5" s="4">
        <v>11</v>
      </c>
      <c r="P5" s="4">
        <v>4228</v>
      </c>
      <c r="Q5" s="4"/>
      <c r="R5" s="4"/>
      <c r="S5" s="4"/>
      <c r="T5" s="4"/>
      <c r="U5" s="4">
        <v>1</v>
      </c>
      <c r="V5" s="4">
        <v>384</v>
      </c>
      <c r="W5" s="4">
        <v>28</v>
      </c>
      <c r="X5" s="4">
        <v>10763</v>
      </c>
      <c r="Y5" s="4"/>
      <c r="Z5" s="4"/>
      <c r="AA5" s="4"/>
      <c r="AB5" s="4"/>
      <c r="AC5" s="4"/>
    </row>
    <row r="6" spans="1:29" s="8" customFormat="1" ht="14.4" customHeight="1" x14ac:dyDescent="0.3">
      <c r="A6" s="3" t="s">
        <v>40</v>
      </c>
      <c r="B6" s="4">
        <v>8</v>
      </c>
      <c r="C6" s="4">
        <v>3050</v>
      </c>
      <c r="D6" s="4"/>
      <c r="E6" s="4"/>
      <c r="F6" s="4"/>
      <c r="G6" s="4"/>
      <c r="H6" s="4"/>
      <c r="I6" s="4"/>
      <c r="J6" s="4"/>
      <c r="K6" s="4">
        <v>1</v>
      </c>
      <c r="L6" s="4">
        <v>381</v>
      </c>
      <c r="M6" s="4"/>
      <c r="N6" s="4"/>
      <c r="O6" s="4">
        <v>6</v>
      </c>
      <c r="P6" s="4">
        <v>2288</v>
      </c>
      <c r="Q6" s="4"/>
      <c r="R6" s="4"/>
      <c r="S6" s="4"/>
      <c r="T6" s="4"/>
      <c r="U6" s="4"/>
      <c r="V6" s="4"/>
      <c r="W6" s="4">
        <v>1</v>
      </c>
      <c r="X6" s="4">
        <v>381</v>
      </c>
      <c r="Y6" s="4"/>
      <c r="Z6" s="4"/>
      <c r="AA6" s="4"/>
      <c r="AB6" s="4"/>
      <c r="AC6" s="4"/>
    </row>
    <row r="7" spans="1:29" s="8" customFormat="1" ht="18" customHeight="1" x14ac:dyDescent="0.3">
      <c r="A7" s="11" t="s">
        <v>28</v>
      </c>
      <c r="B7" s="10">
        <v>16</v>
      </c>
      <c r="C7" s="10">
        <v>6361</v>
      </c>
      <c r="D7" s="10"/>
      <c r="E7" s="10"/>
      <c r="F7" s="10"/>
      <c r="G7" s="10">
        <v>5</v>
      </c>
      <c r="H7" s="10">
        <v>1988</v>
      </c>
      <c r="I7" s="10"/>
      <c r="J7" s="10"/>
      <c r="K7" s="10">
        <v>6</v>
      </c>
      <c r="L7" s="10">
        <v>2385</v>
      </c>
      <c r="M7" s="10"/>
      <c r="N7" s="10"/>
      <c r="O7" s="10">
        <v>21</v>
      </c>
      <c r="P7" s="10">
        <v>8350</v>
      </c>
      <c r="Q7" s="10"/>
      <c r="R7" s="10"/>
      <c r="S7" s="10"/>
      <c r="T7" s="10"/>
      <c r="U7" s="10">
        <v>10</v>
      </c>
      <c r="V7" s="10">
        <v>3976</v>
      </c>
      <c r="W7" s="10">
        <v>-6</v>
      </c>
      <c r="X7" s="10">
        <v>-2385</v>
      </c>
      <c r="Y7" s="10"/>
      <c r="Z7" s="10"/>
      <c r="AA7" s="10"/>
      <c r="AB7" s="10"/>
      <c r="AC7" s="10"/>
    </row>
    <row r="8" spans="1:29" s="8" customFormat="1" ht="13.8" x14ac:dyDescent="0.3">
      <c r="A8" s="11" t="s">
        <v>29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s="8" customFormat="1" ht="13.8" x14ac:dyDescent="0.3">
      <c r="A9" s="11" t="s">
        <v>30</v>
      </c>
      <c r="B9" s="10">
        <v>7</v>
      </c>
      <c r="C9" s="10">
        <v>5309</v>
      </c>
      <c r="D9" s="10"/>
      <c r="E9" s="10"/>
      <c r="F9" s="10"/>
      <c r="G9" s="10">
        <v>10</v>
      </c>
      <c r="H9" s="10">
        <v>7585</v>
      </c>
      <c r="I9" s="10"/>
      <c r="J9" s="10"/>
      <c r="K9" s="10">
        <v>14</v>
      </c>
      <c r="L9" s="10">
        <v>10619</v>
      </c>
      <c r="M9" s="10">
        <v>1</v>
      </c>
      <c r="N9" s="10">
        <v>758</v>
      </c>
      <c r="O9" s="10">
        <v>4</v>
      </c>
      <c r="P9" s="10">
        <v>3034</v>
      </c>
      <c r="Q9" s="10"/>
      <c r="R9" s="10"/>
      <c r="S9" s="10"/>
      <c r="T9" s="10"/>
      <c r="U9" s="10">
        <v>2</v>
      </c>
      <c r="V9" s="10">
        <v>1517</v>
      </c>
      <c r="W9" s="10">
        <v>2</v>
      </c>
      <c r="X9" s="10">
        <v>1517</v>
      </c>
      <c r="Y9" s="10"/>
      <c r="Z9" s="10"/>
      <c r="AA9" s="10"/>
      <c r="AB9" s="10"/>
      <c r="AC9" s="10"/>
    </row>
    <row r="10" spans="1:29" s="8" customFormat="1" ht="13.8" x14ac:dyDescent="0.3">
      <c r="A10" s="11" t="s">
        <v>31</v>
      </c>
      <c r="B10" s="10">
        <v>40</v>
      </c>
      <c r="C10" s="10">
        <v>26969</v>
      </c>
      <c r="D10" s="10"/>
      <c r="E10" s="10"/>
      <c r="F10" s="10"/>
      <c r="G10" s="10">
        <v>35</v>
      </c>
      <c r="H10" s="10">
        <v>23598</v>
      </c>
      <c r="I10" s="10"/>
      <c r="J10" s="10"/>
      <c r="K10" s="10">
        <v>14</v>
      </c>
      <c r="L10" s="10">
        <v>9439</v>
      </c>
      <c r="M10" s="10">
        <v>1</v>
      </c>
      <c r="N10" s="10">
        <v>674</v>
      </c>
      <c r="O10" s="10">
        <v>55</v>
      </c>
      <c r="P10" s="10">
        <v>37083</v>
      </c>
      <c r="Q10" s="10"/>
      <c r="R10" s="10"/>
      <c r="S10" s="10"/>
      <c r="T10" s="10"/>
      <c r="U10" s="10"/>
      <c r="V10" s="10"/>
      <c r="W10" s="10">
        <v>7</v>
      </c>
      <c r="X10" s="10">
        <v>4719</v>
      </c>
      <c r="Y10" s="10"/>
      <c r="Z10" s="10"/>
      <c r="AA10" s="10"/>
      <c r="AB10" s="10"/>
      <c r="AC10" s="10"/>
    </row>
    <row r="11" spans="1:29" s="8" customFormat="1" ht="13.8" x14ac:dyDescent="0.3">
      <c r="A11" s="11" t="s">
        <v>32</v>
      </c>
      <c r="B11" s="10">
        <v>2</v>
      </c>
      <c r="C11" s="10">
        <v>739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>
        <v>3</v>
      </c>
      <c r="P11" s="10">
        <v>1109</v>
      </c>
      <c r="Q11" s="10"/>
      <c r="R11" s="10"/>
      <c r="S11" s="10"/>
      <c r="T11" s="10"/>
      <c r="U11" s="10">
        <v>1</v>
      </c>
      <c r="V11" s="10">
        <v>369</v>
      </c>
      <c r="W11" s="10"/>
      <c r="X11" s="10"/>
      <c r="Y11" s="10"/>
      <c r="Z11" s="10"/>
      <c r="AA11" s="10"/>
      <c r="AB11" s="10"/>
      <c r="AC11" s="10"/>
    </row>
    <row r="12" spans="1:29" s="8" customFormat="1" ht="13.8" x14ac:dyDescent="0.3">
      <c r="A12" s="11" t="s">
        <v>33</v>
      </c>
      <c r="B12" s="10">
        <v>12</v>
      </c>
      <c r="C12" s="10">
        <v>4612</v>
      </c>
      <c r="D12" s="10"/>
      <c r="E12" s="10"/>
      <c r="F12" s="10"/>
      <c r="G12" s="10"/>
      <c r="H12" s="10"/>
      <c r="I12" s="10"/>
      <c r="J12" s="10"/>
      <c r="K12" s="10">
        <v>1</v>
      </c>
      <c r="L12" s="10">
        <v>384</v>
      </c>
      <c r="M12" s="10"/>
      <c r="N12" s="10"/>
      <c r="O12" s="10">
        <v>11</v>
      </c>
      <c r="P12" s="10">
        <v>4228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s="8" customFormat="1" ht="13.8" x14ac:dyDescent="0.3">
      <c r="A13" s="11" t="s">
        <v>34</v>
      </c>
      <c r="B13" s="10">
        <v>112</v>
      </c>
      <c r="C13" s="10">
        <v>35903</v>
      </c>
      <c r="D13" s="10"/>
      <c r="E13" s="10"/>
      <c r="F13" s="10"/>
      <c r="G13" s="10">
        <v>45</v>
      </c>
      <c r="H13" s="10">
        <v>14425</v>
      </c>
      <c r="I13" s="10"/>
      <c r="J13" s="10"/>
      <c r="K13" s="10">
        <v>16</v>
      </c>
      <c r="L13" s="10">
        <v>5129</v>
      </c>
      <c r="M13" s="10">
        <v>1</v>
      </c>
      <c r="N13" s="10">
        <v>320</v>
      </c>
      <c r="O13" s="10">
        <v>114</v>
      </c>
      <c r="P13" s="10">
        <v>36544</v>
      </c>
      <c r="Q13" s="10"/>
      <c r="R13" s="10"/>
      <c r="S13" s="10"/>
      <c r="T13" s="10"/>
      <c r="U13" s="10"/>
      <c r="V13" s="10"/>
      <c r="W13" s="10">
        <v>28</v>
      </c>
      <c r="X13" s="10">
        <v>8975</v>
      </c>
      <c r="Y13" s="10"/>
      <c r="Z13" s="10"/>
      <c r="AA13" s="10"/>
      <c r="AB13" s="10"/>
      <c r="AC13" s="10"/>
    </row>
    <row r="14" spans="1:29" s="8" customFormat="1" ht="13.8" x14ac:dyDescent="0.3">
      <c r="A14" s="11" t="s">
        <v>48</v>
      </c>
      <c r="B14" s="10">
        <v>12</v>
      </c>
      <c r="C14" s="10">
        <v>3822</v>
      </c>
      <c r="D14" s="10"/>
      <c r="E14" s="10"/>
      <c r="F14" s="10"/>
      <c r="G14" s="10"/>
      <c r="H14" s="10"/>
      <c r="I14" s="10"/>
      <c r="J14" s="10"/>
      <c r="K14" s="10">
        <v>3</v>
      </c>
      <c r="L14" s="10">
        <v>955</v>
      </c>
      <c r="M14" s="10"/>
      <c r="N14" s="10"/>
      <c r="O14" s="10">
        <v>7</v>
      </c>
      <c r="P14" s="10">
        <v>2229</v>
      </c>
      <c r="Q14" s="10"/>
      <c r="R14" s="10"/>
      <c r="S14" s="10"/>
      <c r="T14" s="10"/>
      <c r="U14" s="10"/>
      <c r="V14" s="10"/>
      <c r="W14" s="10">
        <v>2</v>
      </c>
      <c r="X14" s="10">
        <v>637</v>
      </c>
      <c r="Y14" s="10"/>
      <c r="Z14" s="10"/>
      <c r="AA14" s="10"/>
      <c r="AB14" s="10"/>
      <c r="AC14" s="10"/>
    </row>
    <row r="15" spans="1:29" s="8" customFormat="1" ht="13.8" x14ac:dyDescent="0.3">
      <c r="A15" s="11" t="s">
        <v>7</v>
      </c>
      <c r="B15" s="10">
        <v>18</v>
      </c>
      <c r="C15" s="10">
        <v>6317</v>
      </c>
      <c r="D15" s="10"/>
      <c r="E15" s="10"/>
      <c r="F15" s="10"/>
      <c r="G15" s="10">
        <v>20</v>
      </c>
      <c r="H15" s="10">
        <v>7019</v>
      </c>
      <c r="I15" s="10"/>
      <c r="J15" s="10"/>
      <c r="K15" s="10">
        <v>12</v>
      </c>
      <c r="L15" s="10">
        <v>4211</v>
      </c>
      <c r="M15" s="10">
        <v>1</v>
      </c>
      <c r="N15" s="10">
        <v>350</v>
      </c>
      <c r="O15" s="10">
        <v>15</v>
      </c>
      <c r="P15" s="10">
        <v>5264</v>
      </c>
      <c r="Q15" s="10"/>
      <c r="R15" s="10"/>
      <c r="S15" s="10"/>
      <c r="T15" s="10"/>
      <c r="U15" s="10"/>
      <c r="V15" s="10"/>
      <c r="W15" s="10">
        <v>12</v>
      </c>
      <c r="X15" s="10">
        <v>4211</v>
      </c>
      <c r="Y15" s="10"/>
      <c r="Z15" s="10"/>
      <c r="AA15" s="10"/>
      <c r="AB15" s="10"/>
      <c r="AC15" s="10"/>
    </row>
    <row r="16" spans="1:29" s="8" customFormat="1" ht="13.8" x14ac:dyDescent="0.3">
      <c r="A16" s="11" t="s">
        <v>35</v>
      </c>
      <c r="B16" s="10">
        <v>33</v>
      </c>
      <c r="C16" s="10">
        <v>19033</v>
      </c>
      <c r="D16" s="10"/>
      <c r="E16" s="10"/>
      <c r="F16" s="10"/>
      <c r="G16" s="10">
        <v>16</v>
      </c>
      <c r="H16" s="10">
        <v>9228</v>
      </c>
      <c r="I16" s="10"/>
      <c r="J16" s="10"/>
      <c r="K16" s="10">
        <v>15</v>
      </c>
      <c r="L16" s="10">
        <v>8651</v>
      </c>
      <c r="M16" s="10">
        <v>2</v>
      </c>
      <c r="N16" s="10">
        <v>1153</v>
      </c>
      <c r="O16" s="10">
        <v>27</v>
      </c>
      <c r="P16" s="10">
        <v>15573</v>
      </c>
      <c r="Q16" s="10"/>
      <c r="R16" s="10"/>
      <c r="S16" s="10"/>
      <c r="T16" s="10"/>
      <c r="U16" s="10"/>
      <c r="V16" s="10"/>
      <c r="W16" s="10">
        <v>9</v>
      </c>
      <c r="X16" s="10">
        <v>5191</v>
      </c>
      <c r="Y16" s="10"/>
      <c r="Z16" s="10"/>
      <c r="AA16" s="10"/>
      <c r="AB16" s="10"/>
      <c r="AC16" s="10"/>
    </row>
    <row r="17" spans="1:29" s="8" customFormat="1" ht="13.8" x14ac:dyDescent="0.3">
      <c r="A17" s="11" t="s">
        <v>36</v>
      </c>
      <c r="B17" s="10">
        <v>23</v>
      </c>
      <c r="C17" s="10">
        <v>15345</v>
      </c>
      <c r="D17" s="10"/>
      <c r="E17" s="10"/>
      <c r="F17" s="10"/>
      <c r="G17" s="10">
        <v>101</v>
      </c>
      <c r="H17" s="10">
        <v>67387</v>
      </c>
      <c r="I17" s="10"/>
      <c r="J17" s="10"/>
      <c r="K17" s="10">
        <v>32</v>
      </c>
      <c r="L17" s="10">
        <v>21350</v>
      </c>
      <c r="M17" s="10">
        <v>3</v>
      </c>
      <c r="N17" s="10">
        <v>2001</v>
      </c>
      <c r="O17" s="10">
        <v>58</v>
      </c>
      <c r="P17" s="10">
        <v>38697</v>
      </c>
      <c r="Q17" s="10"/>
      <c r="R17" s="10"/>
      <c r="S17" s="10"/>
      <c r="T17" s="10"/>
      <c r="U17" s="10"/>
      <c r="V17" s="10"/>
      <c r="W17" s="10">
        <v>36</v>
      </c>
      <c r="X17" s="10">
        <v>24019</v>
      </c>
      <c r="Y17" s="10">
        <v>-1</v>
      </c>
      <c r="Z17" s="10">
        <v>-667</v>
      </c>
      <c r="AA17" s="10"/>
      <c r="AB17" s="10"/>
      <c r="AC17" s="10"/>
    </row>
    <row r="18" spans="1:29" s="8" customFormat="1" ht="13.8" x14ac:dyDescent="0.3">
      <c r="A18" s="11" t="s">
        <v>42</v>
      </c>
      <c r="B18" s="10">
        <v>12</v>
      </c>
      <c r="C18" s="10">
        <v>4349</v>
      </c>
      <c r="D18" s="10"/>
      <c r="E18" s="10"/>
      <c r="F18" s="10"/>
      <c r="G18" s="10"/>
      <c r="H18" s="10"/>
      <c r="I18" s="10"/>
      <c r="J18" s="10"/>
      <c r="K18" s="10">
        <v>1</v>
      </c>
      <c r="L18" s="10">
        <v>362</v>
      </c>
      <c r="M18" s="10">
        <v>1</v>
      </c>
      <c r="N18" s="10">
        <v>362</v>
      </c>
      <c r="O18" s="10">
        <v>12</v>
      </c>
      <c r="P18" s="10">
        <v>4349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s="8" customFormat="1" ht="13.8" x14ac:dyDescent="0.3">
      <c r="A19" s="11" t="s">
        <v>37</v>
      </c>
      <c r="B19" s="10">
        <v>4</v>
      </c>
      <c r="C19" s="10">
        <v>2404</v>
      </c>
      <c r="D19" s="10"/>
      <c r="E19" s="10"/>
      <c r="F19" s="10"/>
      <c r="G19" s="10">
        <v>21</v>
      </c>
      <c r="H19" s="10">
        <v>12622</v>
      </c>
      <c r="I19" s="10"/>
      <c r="J19" s="10"/>
      <c r="K19" s="10">
        <v>6</v>
      </c>
      <c r="L19" s="10">
        <v>3606</v>
      </c>
      <c r="M19" s="10"/>
      <c r="N19" s="10"/>
      <c r="O19" s="10">
        <v>12</v>
      </c>
      <c r="P19" s="10">
        <v>7212</v>
      </c>
      <c r="Q19" s="10"/>
      <c r="R19" s="10"/>
      <c r="S19" s="10"/>
      <c r="T19" s="10"/>
      <c r="U19" s="10"/>
      <c r="V19" s="10"/>
      <c r="W19" s="10">
        <v>7</v>
      </c>
      <c r="X19" s="10">
        <v>4207</v>
      </c>
      <c r="Y19" s="10"/>
      <c r="Z19" s="10"/>
      <c r="AA19" s="10"/>
      <c r="AB19" s="10"/>
      <c r="AC19" s="10"/>
    </row>
    <row r="20" spans="1:29" s="8" customFormat="1" ht="13.8" x14ac:dyDescent="0.3">
      <c r="A20" s="11" t="s">
        <v>38</v>
      </c>
      <c r="B20" s="10">
        <v>6</v>
      </c>
      <c r="C20" s="10">
        <v>2416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>
        <v>6</v>
      </c>
      <c r="P20" s="10">
        <v>2416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s="8" customFormat="1" ht="13.8" x14ac:dyDescent="0.3">
      <c r="A21" s="11" t="s">
        <v>47</v>
      </c>
      <c r="B21" s="10">
        <v>25</v>
      </c>
      <c r="C21" s="10">
        <v>24779</v>
      </c>
      <c r="D21" s="10"/>
      <c r="E21" s="10"/>
      <c r="F21" s="10"/>
      <c r="G21" s="4">
        <v>5</v>
      </c>
      <c r="H21" s="4">
        <v>4955</v>
      </c>
      <c r="I21" s="4"/>
      <c r="J21" s="4"/>
      <c r="K21" s="4">
        <v>4</v>
      </c>
      <c r="L21" s="4">
        <v>3964</v>
      </c>
      <c r="M21" s="10"/>
      <c r="N21" s="10"/>
      <c r="O21" s="10">
        <v>24</v>
      </c>
      <c r="P21" s="10">
        <v>23788</v>
      </c>
      <c r="Q21" s="10"/>
      <c r="R21" s="10"/>
      <c r="S21" s="10"/>
      <c r="T21" s="10"/>
      <c r="U21" s="10"/>
      <c r="V21" s="10"/>
      <c r="W21" s="10">
        <v>2</v>
      </c>
      <c r="X21" s="10">
        <v>1982</v>
      </c>
      <c r="Y21" s="10"/>
      <c r="Z21" s="10"/>
      <c r="AA21" s="10"/>
      <c r="AB21" s="10"/>
      <c r="AC21" s="10"/>
    </row>
    <row r="22" spans="1:29" s="8" customFormat="1" ht="18.600000000000001" customHeight="1" x14ac:dyDescent="0.3">
      <c r="A22" s="3" t="s">
        <v>39</v>
      </c>
      <c r="B22" s="4">
        <v>12</v>
      </c>
      <c r="C22" s="4">
        <v>12174</v>
      </c>
      <c r="D22" s="4"/>
      <c r="E22" s="4"/>
      <c r="F22" s="4"/>
      <c r="G22" s="4"/>
      <c r="H22" s="4"/>
      <c r="I22" s="4"/>
      <c r="J22" s="4"/>
      <c r="K22" s="4"/>
      <c r="L22" s="4"/>
      <c r="M22" s="10"/>
      <c r="N22" s="10"/>
      <c r="O22" s="4">
        <v>12</v>
      </c>
      <c r="P22" s="4">
        <v>12174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s="8" customFormat="1" ht="24.6" customHeight="1" x14ac:dyDescent="0.3">
      <c r="A23" s="3" t="s">
        <v>55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10"/>
      <c r="N23" s="1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s="9" customFormat="1" ht="13.8" x14ac:dyDescent="0.3">
      <c r="A24" s="5" t="s">
        <v>8</v>
      </c>
      <c r="B24" s="6">
        <v>399</v>
      </c>
      <c r="C24" s="6">
        <v>195493</v>
      </c>
      <c r="D24" s="6"/>
      <c r="E24" s="6"/>
      <c r="F24" s="6"/>
      <c r="G24" s="6">
        <v>268</v>
      </c>
      <c r="H24" s="6">
        <v>152651</v>
      </c>
      <c r="I24" s="6"/>
      <c r="J24" s="6"/>
      <c r="K24" s="6">
        <v>155</v>
      </c>
      <c r="L24" s="6">
        <v>82968</v>
      </c>
      <c r="M24" s="10">
        <v>12</v>
      </c>
      <c r="N24" s="10">
        <v>6386</v>
      </c>
      <c r="O24" s="6">
        <v>398</v>
      </c>
      <c r="P24" s="6">
        <v>208566</v>
      </c>
      <c r="Q24" s="6"/>
      <c r="R24" s="6">
        <f t="shared" ref="R24:T24" si="0">SUM(R5:R22)</f>
        <v>0</v>
      </c>
      <c r="S24" s="6">
        <f t="shared" si="0"/>
        <v>0</v>
      </c>
      <c r="T24" s="6">
        <f t="shared" si="0"/>
        <v>0</v>
      </c>
      <c r="U24" s="9">
        <v>14</v>
      </c>
      <c r="V24" s="9">
        <v>6246</v>
      </c>
      <c r="W24" s="9">
        <v>128</v>
      </c>
      <c r="X24" s="9">
        <v>64217</v>
      </c>
      <c r="Y24" s="9">
        <v>-1</v>
      </c>
      <c r="Z24" s="9">
        <v>-667</v>
      </c>
    </row>
  </sheetData>
  <pageMargins left="0.7" right="0.7" top="0.75" bottom="0.75" header="0.3" footer="0.3"/>
  <pageSetup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STOCK_AND_SALE.xlsx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Praveen Sharma</cp:lastModifiedBy>
  <cp:lastPrinted>2023-06-01T16:37:35Z</cp:lastPrinted>
  <dcterms:created xsi:type="dcterms:W3CDTF">2019-07-01T17:12:32Z</dcterms:created>
  <dcterms:modified xsi:type="dcterms:W3CDTF">2026-08-02T06:56:15Z</dcterms:modified>
</cp:coreProperties>
</file>