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45DDFA2C8D0396269BB3D35684523CF61CD3974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UX LABORATORIES PVT LT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1" i="1" l="1"/>
  <c r="M31" i="1"/>
  <c r="K31" i="1"/>
</calcChain>
</file>

<file path=xl/sharedStrings.xml><?xml version="1.0" encoding="utf-8"?>
<sst xmlns="http://schemas.openxmlformats.org/spreadsheetml/2006/main" count="99" uniqueCount="88">
  <si>
    <t>NAME</t>
  </si>
  <si>
    <t>udesc</t>
  </si>
  <si>
    <t>UPC</t>
  </si>
  <si>
    <t>opqty</t>
  </si>
  <si>
    <t>Receipt</t>
  </si>
  <si>
    <t>sale</t>
  </si>
  <si>
    <t>saleval</t>
  </si>
  <si>
    <t>CompRet</t>
  </si>
  <si>
    <t>Transit</t>
  </si>
  <si>
    <t>SalFree</t>
  </si>
  <si>
    <t>FreeVal</t>
  </si>
  <si>
    <t>Closing</t>
  </si>
  <si>
    <t>CloseVal</t>
  </si>
  <si>
    <t>Replqty</t>
  </si>
  <si>
    <t>instsales</t>
  </si>
  <si>
    <t>subsalesval</t>
  </si>
  <si>
    <t>LastMnth</t>
  </si>
  <si>
    <t>LastMnthVal</t>
  </si>
  <si>
    <t>pur_his</t>
  </si>
  <si>
    <t>CASIL SOAP 75GM</t>
  </si>
  <si>
    <t>75G</t>
  </si>
  <si>
    <t>,  LINUX LABORATORIES PVT LTD=91.51</t>
  </si>
  <si>
    <t>HYDRAVO SKIN MOISTURIZER50G</t>
  </si>
  <si>
    <t>50G</t>
  </si>
  <si>
    <t>,  LINUX LABORATORIES PVT LTD=384.41,  LINUX LABORATORIES PVT LTD=384.41,  LINUX LABORATORIES PVT LTD=384.41</t>
  </si>
  <si>
    <t>HYTEC NU ICY GEL</t>
  </si>
  <si>
    <t>,  LINUX LABORATORIES PVT LTD=499.72,  LINUX LABORATORIES PVT LTD=499.72,  LINUX LABORATORIES PVT LTD=499.73</t>
  </si>
  <si>
    <t>IBGLOW HD CREAM 15GM</t>
  </si>
  <si>
    <t>15G</t>
  </si>
  <si>
    <t>,  LINUX LABORATORIES PVT LTD=384.41</t>
  </si>
  <si>
    <t>IBGLOW SKIN LIGHTENING CREAM</t>
  </si>
  <si>
    <t>20G</t>
  </si>
  <si>
    <t>,  LINUX LABORATORIES PVT LTD=369.77</t>
  </si>
  <si>
    <t>IBGLOW ULTRADEPIGMENTING CREAM</t>
  </si>
  <si>
    <t>,  LINUX LABORATORIES PVT LTD=318.17,  LINUX LABORATORIES PVT LTD=318.17,  LINUX LABORATORIES PVT LTD=318.17</t>
  </si>
  <si>
    <t>IBILUL CREAM 30GM</t>
  </si>
  <si>
    <t>30GM</t>
  </si>
  <si>
    <t>,  LINUX LABORATORIES PVT LTD=228.82</t>
  </si>
  <si>
    <t>LA MATISSE HAIR SERUM</t>
  </si>
  <si>
    <t>90ML</t>
  </si>
  <si>
    <t>,  LINUX LABORATORIES PVT LTD=1049.49</t>
  </si>
  <si>
    <t>LA MATISSE REPAIR RESCUE CONDI</t>
  </si>
  <si>
    <t>100G</t>
  </si>
  <si>
    <t>,  LINUX LABORATORIES PVT LTD=381.36</t>
  </si>
  <si>
    <t>LA MATISSE SHAMPOO 240ML</t>
  </si>
  <si>
    <t>240ML</t>
  </si>
  <si>
    <t>,  LINUX LABORATORIES PVT LTD=420.99,  LINUX LABORATORIES PVT LTD=421.00</t>
  </si>
  <si>
    <t>LUMISE C+ SERUM 20ML</t>
  </si>
  <si>
    <t>20ML</t>
  </si>
  <si>
    <t>,  LINUX LABORATORIES PVT LTD=750.51</t>
  </si>
  <si>
    <t>LUMISE CLEANSER 100G</t>
  </si>
  <si>
    <t>,  LINUX LABORATORIES PVT LTD=318.51</t>
  </si>
  <si>
    <t>MANDISA FOAM FACE WASH</t>
  </si>
  <si>
    <t>100ML</t>
  </si>
  <si>
    <t>,  LINUX LABORATORIES PVT LTD=363.05,  LINUX LABORATORIES PVT LTD=363.06</t>
  </si>
  <si>
    <t>MINOFINA 60ML</t>
  </si>
  <si>
    <t>60ML</t>
  </si>
  <si>
    <t>,  LINUX LABORATORIES PVT LTD=610.70</t>
  </si>
  <si>
    <t>MINOPEP CONDITIONER  100GM</t>
  </si>
  <si>
    <t>100GM</t>
  </si>
  <si>
    <t>MINOPEP EVA SOLU</t>
  </si>
  <si>
    <t>,  LINUX LABORATORIES PVT LTD=636.40,  LINUX LABORATORIES PVT LTD=636.41</t>
  </si>
  <si>
    <t>MINOPEP GOLD 60ML</t>
  </si>
  <si>
    <t>,  LINUX LABORATORIES PVT LTD=758.54</t>
  </si>
  <si>
    <t>MINOPEP SHAMPOO 250ML</t>
  </si>
  <si>
    <t>250ML</t>
  </si>
  <si>
    <t>,  LINUX LABORATORIES PVT LTD=421.00</t>
  </si>
  <si>
    <t>MINOPEP TOPICAL SOLU 90ML</t>
  </si>
  <si>
    <t>,  LINUX LABORATORIES PVT LTD=362.44,  LINUX LABORATORIES PVT LTD=706.42,  LINUX LABORATORIES PVT LTD=740.57</t>
  </si>
  <si>
    <t>MOIMAX MOISTURIZER 100G</t>
  </si>
  <si>
    <t>,  LINUX LABORATORIES PVT LTD=302.03,  LINUX LABORATORIES PVT LTD=302.03</t>
  </si>
  <si>
    <t>RETIGLOW NIGHT SERUM 30ML</t>
  </si>
  <si>
    <t>30ML</t>
  </si>
  <si>
    <t>,  LINUX LABORATORIES PVT LTD=713.90,  LINUX LABORATORIES PVT LTD=768.82,  LINUX LABORATORIES PVT LTD=768.83</t>
  </si>
  <si>
    <t>SOFTSCREEN MATTE SUNSCREAN GEL</t>
  </si>
  <si>
    <t>,  LINUX LABORATORIES PVT LTD=329.49,  LINUX LABORATORIES PVT LTD=329.49,  LINUX LABORATORIES PVT LTD=329.49</t>
  </si>
  <si>
    <t>RAOPURA PHARMA AGENCY</t>
  </si>
  <si>
    <t>Stock &amp; Sales Statement From Date : 01/07/2026 To : 31/07/2026</t>
  </si>
  <si>
    <t>Run Date : 01/08/2026</t>
  </si>
  <si>
    <t>Run at : HEAD OFFICE</t>
  </si>
  <si>
    <t>Company : LINUX LABORATORIES PVT LTD</t>
  </si>
  <si>
    <t xml:space="preserve"> </t>
  </si>
  <si>
    <t>Sales values :  295123.30</t>
  </si>
  <si>
    <t>Closing Values :  205003.24</t>
  </si>
  <si>
    <t>Last Month Sales Value :  282663.49</t>
  </si>
  <si>
    <t>Free Sales Value :  140396.71</t>
  </si>
  <si>
    <t>Sales and Last Month sales based on (Quantity * Rate) and Others Values on (Quantity * Ptr)</t>
  </si>
  <si>
    <t>Last Month sales between 01/06/2026 And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</si>
</sst>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80"/>
      <name val="Calibri"/>
      <family val="2"/>
      <scheme val="minor"/>
    </font>
    <font>
      <sz val="10"/>
      <color rgb="FF800080"/>
      <name val="Calibri"/>
      <family val="2"/>
      <scheme val="minor"/>
    </font>
    <font>
      <sz val="10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A6" workbookViewId="0">
      <selection activeCell="J25" sqref="J25"/>
    </sheetView>
  </sheetViews>
  <sheetFormatPr defaultRowHeight="14.4" x14ac:dyDescent="0.3"/>
  <cols>
    <col min="1" max="1" width="35.44140625" bestFit="1" customWidth="1"/>
    <col min="2" max="2" width="7" bestFit="1" customWidth="1"/>
    <col min="3" max="3" width="4.109375" bestFit="1" customWidth="1"/>
    <col min="4" max="4" width="5.44140625" bestFit="1" customWidth="1"/>
    <col min="5" max="5" width="6.6640625" bestFit="1" customWidth="1"/>
    <col min="6" max="6" width="4.33203125" bestFit="1" customWidth="1"/>
    <col min="7" max="7" width="6.6640625" bestFit="1" customWidth="1"/>
    <col min="8" max="8" width="7.88671875" bestFit="1" customWidth="1"/>
    <col min="9" max="9" width="6.5546875" bestFit="1" customWidth="1"/>
    <col min="10" max="10" width="6.6640625" bestFit="1" customWidth="1"/>
    <col min="11" max="11" width="12" bestFit="1" customWidth="1"/>
    <col min="12" max="12" width="6.88671875" bestFit="1" customWidth="1"/>
    <col min="13" max="13" width="12" bestFit="1" customWidth="1"/>
    <col min="14" max="14" width="6.88671875" bestFit="1" customWidth="1"/>
    <col min="15" max="15" width="8.109375" bestFit="1" customWidth="1"/>
    <col min="16" max="16" width="10.44140625" bestFit="1" customWidth="1"/>
    <col min="17" max="17" width="8.33203125" bestFit="1" customWidth="1"/>
    <col min="18" max="18" width="10.88671875" bestFit="1" customWidth="1"/>
    <col min="19" max="19" width="107.5546875" bestFit="1" customWidth="1"/>
  </cols>
  <sheetData>
    <row r="1" spans="1:19" x14ac:dyDescent="0.3">
      <c r="A1" s="4" t="s">
        <v>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3">
      <c r="A2" s="4" t="s">
        <v>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4" t="s">
        <v>78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">
      <c r="A4" s="4" t="s">
        <v>79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4" t="s">
        <v>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">
      <c r="A6" s="4" t="s">
        <v>81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</row>
    <row r="8" spans="1:19" x14ac:dyDescent="0.3">
      <c r="A8" t="s">
        <v>19</v>
      </c>
      <c r="B8" t="s">
        <v>20</v>
      </c>
      <c r="D8">
        <v>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</v>
      </c>
      <c r="M8">
        <v>1920.41</v>
      </c>
      <c r="N8">
        <v>0</v>
      </c>
      <c r="O8">
        <v>0</v>
      </c>
      <c r="P8">
        <v>0</v>
      </c>
      <c r="Q8">
        <v>0</v>
      </c>
      <c r="R8">
        <v>0</v>
      </c>
      <c r="S8" t="s">
        <v>21</v>
      </c>
    </row>
    <row r="9" spans="1:19" x14ac:dyDescent="0.3">
      <c r="A9" t="s">
        <v>22</v>
      </c>
      <c r="B9" t="s">
        <v>23</v>
      </c>
      <c r="D9">
        <v>22</v>
      </c>
      <c r="E9">
        <v>56</v>
      </c>
      <c r="F9">
        <v>37</v>
      </c>
      <c r="G9">
        <v>15804</v>
      </c>
      <c r="H9">
        <v>0</v>
      </c>
      <c r="I9">
        <v>0</v>
      </c>
      <c r="J9">
        <v>19</v>
      </c>
      <c r="K9">
        <v>8115.28</v>
      </c>
      <c r="L9">
        <v>21</v>
      </c>
      <c r="M9">
        <v>8969.52</v>
      </c>
      <c r="N9">
        <v>0</v>
      </c>
      <c r="O9">
        <v>1</v>
      </c>
      <c r="P9">
        <v>16230.56</v>
      </c>
      <c r="Q9">
        <v>48</v>
      </c>
      <c r="R9">
        <v>22210.240000000002</v>
      </c>
      <c r="S9" t="s">
        <v>24</v>
      </c>
    </row>
    <row r="10" spans="1:19" x14ac:dyDescent="0.3">
      <c r="A10" t="s">
        <v>25</v>
      </c>
      <c r="B10" t="s">
        <v>23</v>
      </c>
      <c r="D10">
        <v>9</v>
      </c>
      <c r="E10">
        <v>45</v>
      </c>
      <c r="F10">
        <v>16</v>
      </c>
      <c r="G10">
        <v>8884</v>
      </c>
      <c r="H10">
        <v>0</v>
      </c>
      <c r="I10">
        <v>0</v>
      </c>
      <c r="J10">
        <v>8</v>
      </c>
      <c r="K10">
        <v>4442</v>
      </c>
      <c r="L10">
        <v>30</v>
      </c>
      <c r="M10">
        <v>16932.150000000001</v>
      </c>
      <c r="N10">
        <v>0</v>
      </c>
      <c r="O10">
        <v>0</v>
      </c>
      <c r="P10">
        <v>8884</v>
      </c>
      <c r="Q10">
        <v>37</v>
      </c>
      <c r="R10">
        <v>20544.25</v>
      </c>
      <c r="S10" t="s">
        <v>26</v>
      </c>
    </row>
    <row r="11" spans="1:19" x14ac:dyDescent="0.3">
      <c r="A11" t="s">
        <v>27</v>
      </c>
      <c r="B11" t="s">
        <v>28</v>
      </c>
      <c r="D11">
        <v>18</v>
      </c>
      <c r="E11">
        <v>17</v>
      </c>
      <c r="F11">
        <v>10</v>
      </c>
      <c r="G11">
        <v>4271</v>
      </c>
      <c r="H11">
        <v>0</v>
      </c>
      <c r="I11">
        <v>0</v>
      </c>
      <c r="J11">
        <v>1</v>
      </c>
      <c r="K11">
        <v>427.12</v>
      </c>
      <c r="L11">
        <v>24</v>
      </c>
      <c r="M11">
        <v>10293.591899999999</v>
      </c>
      <c r="N11">
        <v>0</v>
      </c>
      <c r="O11">
        <v>0</v>
      </c>
      <c r="P11">
        <v>4271.2</v>
      </c>
      <c r="Q11">
        <v>22</v>
      </c>
      <c r="R11">
        <v>9396.64</v>
      </c>
      <c r="S11" t="s">
        <v>29</v>
      </c>
    </row>
    <row r="12" spans="1:19" x14ac:dyDescent="0.3">
      <c r="A12" t="s">
        <v>30</v>
      </c>
      <c r="B12" t="s">
        <v>31</v>
      </c>
      <c r="D12">
        <v>17</v>
      </c>
      <c r="E12">
        <v>0</v>
      </c>
      <c r="F12">
        <v>8</v>
      </c>
      <c r="G12">
        <v>3287</v>
      </c>
      <c r="H12">
        <v>0</v>
      </c>
      <c r="I12">
        <v>0</v>
      </c>
      <c r="J12">
        <v>0</v>
      </c>
      <c r="K12">
        <v>0</v>
      </c>
      <c r="L12">
        <v>9</v>
      </c>
      <c r="M12">
        <v>3697.65</v>
      </c>
      <c r="N12">
        <v>0</v>
      </c>
      <c r="O12">
        <v>0</v>
      </c>
      <c r="P12">
        <v>3286.8</v>
      </c>
      <c r="Q12">
        <v>11</v>
      </c>
      <c r="R12">
        <v>4519.3500000000004</v>
      </c>
      <c r="S12" t="s">
        <v>32</v>
      </c>
    </row>
    <row r="13" spans="1:19" x14ac:dyDescent="0.3">
      <c r="A13" t="s">
        <v>33</v>
      </c>
      <c r="B13" t="s">
        <v>28</v>
      </c>
      <c r="D13">
        <v>24</v>
      </c>
      <c r="E13">
        <v>209</v>
      </c>
      <c r="F13">
        <v>141</v>
      </c>
      <c r="G13">
        <v>49846</v>
      </c>
      <c r="H13">
        <v>0</v>
      </c>
      <c r="I13">
        <v>0</v>
      </c>
      <c r="J13">
        <v>75</v>
      </c>
      <c r="K13">
        <v>26514</v>
      </c>
      <c r="L13">
        <v>16</v>
      </c>
      <c r="M13">
        <v>5656.32</v>
      </c>
      <c r="N13">
        <v>0</v>
      </c>
      <c r="O13">
        <v>1</v>
      </c>
      <c r="P13">
        <v>50206.94</v>
      </c>
      <c r="Q13">
        <v>152</v>
      </c>
      <c r="R13">
        <v>53735.040000000001</v>
      </c>
      <c r="S13" t="s">
        <v>34</v>
      </c>
    </row>
    <row r="14" spans="1:19" x14ac:dyDescent="0.3">
      <c r="A14" t="s">
        <v>35</v>
      </c>
      <c r="B14" t="s">
        <v>36</v>
      </c>
      <c r="D14">
        <v>29</v>
      </c>
      <c r="E14">
        <v>0</v>
      </c>
      <c r="F14">
        <v>6</v>
      </c>
      <c r="G14">
        <v>1526</v>
      </c>
      <c r="H14">
        <v>0</v>
      </c>
      <c r="I14">
        <v>0</v>
      </c>
      <c r="J14">
        <v>0</v>
      </c>
      <c r="K14">
        <v>0</v>
      </c>
      <c r="L14">
        <v>23</v>
      </c>
      <c r="M14">
        <v>5847.75</v>
      </c>
      <c r="N14">
        <v>0</v>
      </c>
      <c r="O14">
        <v>0</v>
      </c>
      <c r="P14">
        <v>1525.5</v>
      </c>
      <c r="Q14">
        <v>0</v>
      </c>
      <c r="R14">
        <v>0</v>
      </c>
      <c r="S14" t="s">
        <v>37</v>
      </c>
    </row>
    <row r="15" spans="1:19" x14ac:dyDescent="0.3">
      <c r="A15" t="s">
        <v>38</v>
      </c>
      <c r="B15" t="s">
        <v>39</v>
      </c>
      <c r="D15">
        <v>11</v>
      </c>
      <c r="E15">
        <v>29</v>
      </c>
      <c r="F15">
        <v>20</v>
      </c>
      <c r="G15">
        <v>23322</v>
      </c>
      <c r="H15">
        <v>0</v>
      </c>
      <c r="I15">
        <v>0</v>
      </c>
      <c r="J15">
        <v>12</v>
      </c>
      <c r="K15">
        <v>13993.2</v>
      </c>
      <c r="L15">
        <v>8</v>
      </c>
      <c r="M15">
        <v>9328.7999999999993</v>
      </c>
      <c r="N15">
        <v>0</v>
      </c>
      <c r="O15">
        <v>0</v>
      </c>
      <c r="P15">
        <v>23322</v>
      </c>
      <c r="Q15">
        <v>19</v>
      </c>
      <c r="R15">
        <v>22155.9</v>
      </c>
      <c r="S15" t="s">
        <v>40</v>
      </c>
    </row>
    <row r="16" spans="1:19" x14ac:dyDescent="0.3">
      <c r="A16" t="s">
        <v>41</v>
      </c>
      <c r="B16" t="s">
        <v>42</v>
      </c>
      <c r="D16">
        <v>12</v>
      </c>
      <c r="E16">
        <v>13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25</v>
      </c>
      <c r="M16">
        <v>10593.25</v>
      </c>
      <c r="N16">
        <v>0</v>
      </c>
      <c r="O16">
        <v>0</v>
      </c>
      <c r="P16">
        <v>0</v>
      </c>
      <c r="Q16">
        <v>5</v>
      </c>
      <c r="R16">
        <v>2118.65</v>
      </c>
      <c r="S16" t="s">
        <v>43</v>
      </c>
    </row>
    <row r="17" spans="1:19" x14ac:dyDescent="0.3">
      <c r="A17" t="s">
        <v>44</v>
      </c>
      <c r="B17" t="s">
        <v>45</v>
      </c>
      <c r="D17">
        <v>23</v>
      </c>
      <c r="E17">
        <v>4</v>
      </c>
      <c r="F17">
        <v>1</v>
      </c>
      <c r="G17">
        <v>468</v>
      </c>
      <c r="H17">
        <v>0</v>
      </c>
      <c r="I17">
        <v>0</v>
      </c>
      <c r="J17">
        <v>0</v>
      </c>
      <c r="K17">
        <v>0</v>
      </c>
      <c r="L17">
        <v>26</v>
      </c>
      <c r="M17">
        <v>12162.02</v>
      </c>
      <c r="N17">
        <v>0</v>
      </c>
      <c r="O17">
        <v>0</v>
      </c>
      <c r="P17">
        <v>467.77</v>
      </c>
      <c r="Q17">
        <v>10</v>
      </c>
      <c r="R17">
        <v>4677.7</v>
      </c>
      <c r="S17" t="s">
        <v>46</v>
      </c>
    </row>
    <row r="18" spans="1:19" x14ac:dyDescent="0.3">
      <c r="A18" t="s">
        <v>47</v>
      </c>
      <c r="B18" t="s">
        <v>48</v>
      </c>
      <c r="D18">
        <v>22</v>
      </c>
      <c r="E18">
        <v>7</v>
      </c>
      <c r="F18">
        <v>6</v>
      </c>
      <c r="G18">
        <v>5003</v>
      </c>
      <c r="H18">
        <v>0</v>
      </c>
      <c r="I18">
        <v>0</v>
      </c>
      <c r="J18">
        <v>2</v>
      </c>
      <c r="K18">
        <v>1667.8</v>
      </c>
      <c r="L18">
        <v>21</v>
      </c>
      <c r="M18">
        <v>17511.900000000001</v>
      </c>
      <c r="N18">
        <v>0</v>
      </c>
      <c r="O18">
        <v>0</v>
      </c>
      <c r="P18">
        <v>5003.3999999999996</v>
      </c>
      <c r="Q18">
        <v>11</v>
      </c>
      <c r="R18">
        <v>9172.9</v>
      </c>
      <c r="S18" t="s">
        <v>49</v>
      </c>
    </row>
    <row r="19" spans="1:19" x14ac:dyDescent="0.3">
      <c r="A19" t="s">
        <v>50</v>
      </c>
      <c r="B19" t="s">
        <v>42</v>
      </c>
      <c r="D19">
        <v>32</v>
      </c>
      <c r="E19">
        <v>1</v>
      </c>
      <c r="F19">
        <v>10</v>
      </c>
      <c r="G19">
        <v>3539</v>
      </c>
      <c r="H19">
        <v>0</v>
      </c>
      <c r="I19">
        <v>0</v>
      </c>
      <c r="J19">
        <v>4</v>
      </c>
      <c r="K19">
        <v>1415.6</v>
      </c>
      <c r="L19">
        <v>19</v>
      </c>
      <c r="M19">
        <v>6742.4052000000001</v>
      </c>
      <c r="N19">
        <v>0</v>
      </c>
      <c r="O19">
        <v>0</v>
      </c>
      <c r="P19">
        <v>3539</v>
      </c>
      <c r="Q19">
        <v>0</v>
      </c>
      <c r="R19">
        <v>0</v>
      </c>
      <c r="S19" t="s">
        <v>51</v>
      </c>
    </row>
    <row r="20" spans="1:19" x14ac:dyDescent="0.3">
      <c r="A20" t="s">
        <v>50</v>
      </c>
      <c r="B20" t="s">
        <v>42</v>
      </c>
      <c r="D20">
        <v>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</v>
      </c>
      <c r="M20">
        <v>3185.1</v>
      </c>
      <c r="N20">
        <v>0</v>
      </c>
      <c r="O20">
        <v>0</v>
      </c>
      <c r="P20">
        <v>0</v>
      </c>
      <c r="Q20">
        <v>5</v>
      </c>
      <c r="R20">
        <v>1769.5</v>
      </c>
    </row>
    <row r="21" spans="1:19" x14ac:dyDescent="0.3">
      <c r="A21" t="s">
        <v>52</v>
      </c>
      <c r="B21" t="s">
        <v>53</v>
      </c>
      <c r="D21">
        <v>20</v>
      </c>
      <c r="E21">
        <v>58</v>
      </c>
      <c r="F21">
        <v>29</v>
      </c>
      <c r="G21">
        <v>11698</v>
      </c>
      <c r="H21">
        <v>0</v>
      </c>
      <c r="I21">
        <v>0</v>
      </c>
      <c r="J21">
        <v>8</v>
      </c>
      <c r="K21">
        <v>3227.12</v>
      </c>
      <c r="L21">
        <v>39</v>
      </c>
      <c r="M21">
        <v>15732.21</v>
      </c>
      <c r="N21">
        <v>0</v>
      </c>
      <c r="O21">
        <v>2</v>
      </c>
      <c r="P21">
        <v>12505.09</v>
      </c>
      <c r="Q21">
        <v>41</v>
      </c>
      <c r="R21">
        <v>16538.990000000002</v>
      </c>
      <c r="S21" t="s">
        <v>54</v>
      </c>
    </row>
    <row r="22" spans="1:19" x14ac:dyDescent="0.3">
      <c r="A22" t="s">
        <v>55</v>
      </c>
      <c r="B22" t="s">
        <v>56</v>
      </c>
      <c r="D22">
        <v>14</v>
      </c>
      <c r="E22">
        <v>11</v>
      </c>
      <c r="F22">
        <v>6</v>
      </c>
      <c r="G22">
        <v>4071</v>
      </c>
      <c r="H22">
        <v>0</v>
      </c>
      <c r="I22">
        <v>0</v>
      </c>
      <c r="J22">
        <v>3</v>
      </c>
      <c r="K22">
        <v>2035.6643999999999</v>
      </c>
      <c r="L22">
        <v>16</v>
      </c>
      <c r="M22">
        <v>10856.8768</v>
      </c>
      <c r="N22">
        <v>0</v>
      </c>
      <c r="O22">
        <v>0</v>
      </c>
      <c r="P22">
        <v>1357.1</v>
      </c>
      <c r="Q22">
        <v>1</v>
      </c>
      <c r="R22">
        <v>678.57</v>
      </c>
      <c r="S22" t="s">
        <v>57</v>
      </c>
    </row>
    <row r="23" spans="1:19" x14ac:dyDescent="0.3">
      <c r="A23" t="s">
        <v>58</v>
      </c>
      <c r="B23" t="s">
        <v>59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10</v>
      </c>
      <c r="M23">
        <v>4027.1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9" x14ac:dyDescent="0.3">
      <c r="A24" t="s">
        <v>60</v>
      </c>
      <c r="B24" t="s">
        <v>39</v>
      </c>
      <c r="D24">
        <v>17</v>
      </c>
      <c r="E24">
        <v>30</v>
      </c>
      <c r="F24">
        <v>16</v>
      </c>
      <c r="G24">
        <v>11314</v>
      </c>
      <c r="H24">
        <v>0</v>
      </c>
      <c r="I24">
        <v>0</v>
      </c>
      <c r="J24">
        <v>11</v>
      </c>
      <c r="K24">
        <v>7778.32</v>
      </c>
      <c r="L24">
        <v>20</v>
      </c>
      <c r="M24">
        <v>14142.4</v>
      </c>
      <c r="N24">
        <v>0</v>
      </c>
      <c r="O24">
        <v>0</v>
      </c>
      <c r="P24">
        <v>11313.92</v>
      </c>
      <c r="Q24">
        <v>1</v>
      </c>
      <c r="R24">
        <v>707.12</v>
      </c>
      <c r="S24" t="s">
        <v>61</v>
      </c>
    </row>
    <row r="25" spans="1:19" x14ac:dyDescent="0.3">
      <c r="A25" t="s">
        <v>62</v>
      </c>
      <c r="B25" t="s">
        <v>56</v>
      </c>
      <c r="D25">
        <v>12</v>
      </c>
      <c r="E25">
        <v>63</v>
      </c>
      <c r="F25">
        <v>53</v>
      </c>
      <c r="G25">
        <v>44669</v>
      </c>
      <c r="H25">
        <v>0</v>
      </c>
      <c r="I25">
        <v>0</v>
      </c>
      <c r="J25">
        <v>18</v>
      </c>
      <c r="K25">
        <v>15170.76</v>
      </c>
      <c r="L25">
        <v>4</v>
      </c>
      <c r="M25">
        <v>3371.28</v>
      </c>
      <c r="N25">
        <v>0</v>
      </c>
      <c r="O25">
        <v>0</v>
      </c>
      <c r="P25">
        <v>44669.46</v>
      </c>
      <c r="Q25">
        <v>44</v>
      </c>
      <c r="R25">
        <v>37084.080000000002</v>
      </c>
      <c r="S25" t="s">
        <v>63</v>
      </c>
    </row>
    <row r="26" spans="1:19" x14ac:dyDescent="0.3">
      <c r="A26" t="s">
        <v>64</v>
      </c>
      <c r="B26" t="s">
        <v>65</v>
      </c>
      <c r="D26">
        <v>11</v>
      </c>
      <c r="E26">
        <v>13</v>
      </c>
      <c r="F26">
        <v>8</v>
      </c>
      <c r="G26">
        <v>3742</v>
      </c>
      <c r="H26">
        <v>0</v>
      </c>
      <c r="I26">
        <v>0</v>
      </c>
      <c r="J26">
        <v>0</v>
      </c>
      <c r="K26">
        <v>0</v>
      </c>
      <c r="L26">
        <v>16</v>
      </c>
      <c r="M26">
        <v>7484.32</v>
      </c>
      <c r="N26">
        <v>0</v>
      </c>
      <c r="O26">
        <v>0</v>
      </c>
      <c r="P26">
        <v>3742.16</v>
      </c>
      <c r="Q26">
        <v>12</v>
      </c>
      <c r="R26">
        <v>5613.24</v>
      </c>
      <c r="S26" t="s">
        <v>66</v>
      </c>
    </row>
    <row r="27" spans="1:19" x14ac:dyDescent="0.3">
      <c r="A27" t="s">
        <v>67</v>
      </c>
      <c r="B27" t="s">
        <v>39</v>
      </c>
      <c r="D27">
        <v>24</v>
      </c>
      <c r="E27">
        <v>86</v>
      </c>
      <c r="F27">
        <v>70</v>
      </c>
      <c r="G27">
        <v>57032</v>
      </c>
      <c r="H27">
        <v>0</v>
      </c>
      <c r="I27">
        <v>0</v>
      </c>
      <c r="J27">
        <v>37</v>
      </c>
      <c r="K27">
        <v>30104.8308</v>
      </c>
      <c r="L27">
        <v>1</v>
      </c>
      <c r="M27">
        <v>822.87360000000001</v>
      </c>
      <c r="N27">
        <v>0</v>
      </c>
      <c r="O27">
        <v>2</v>
      </c>
      <c r="P27">
        <v>59500.41</v>
      </c>
      <c r="Q27">
        <v>68</v>
      </c>
      <c r="R27">
        <v>53375.24</v>
      </c>
      <c r="S27" t="s">
        <v>68</v>
      </c>
    </row>
    <row r="28" spans="1:19" x14ac:dyDescent="0.3">
      <c r="A28" t="s">
        <v>69</v>
      </c>
      <c r="B28" t="s">
        <v>42</v>
      </c>
      <c r="D28">
        <v>30</v>
      </c>
      <c r="E28">
        <v>0</v>
      </c>
      <c r="F28">
        <v>1</v>
      </c>
      <c r="G28">
        <v>336</v>
      </c>
      <c r="H28">
        <v>0</v>
      </c>
      <c r="I28">
        <v>0</v>
      </c>
      <c r="J28">
        <v>0</v>
      </c>
      <c r="K28">
        <v>0</v>
      </c>
      <c r="L28">
        <v>29</v>
      </c>
      <c r="M28">
        <v>9732.11</v>
      </c>
      <c r="N28">
        <v>0</v>
      </c>
      <c r="O28">
        <v>0</v>
      </c>
      <c r="P28">
        <v>335.59</v>
      </c>
      <c r="Q28">
        <v>0</v>
      </c>
      <c r="R28">
        <v>0</v>
      </c>
      <c r="S28" t="s">
        <v>70</v>
      </c>
    </row>
    <row r="29" spans="1:19" x14ac:dyDescent="0.3">
      <c r="A29" t="s">
        <v>71</v>
      </c>
      <c r="B29" t="s">
        <v>72</v>
      </c>
      <c r="D29">
        <v>20</v>
      </c>
      <c r="E29">
        <v>54</v>
      </c>
      <c r="F29">
        <v>29</v>
      </c>
      <c r="G29">
        <v>23919</v>
      </c>
      <c r="H29">
        <v>0</v>
      </c>
      <c r="I29">
        <v>0</v>
      </c>
      <c r="J29">
        <v>14</v>
      </c>
      <c r="K29">
        <v>11593.215200000001</v>
      </c>
      <c r="L29">
        <v>30</v>
      </c>
      <c r="M29">
        <v>25627.107</v>
      </c>
      <c r="N29">
        <v>0</v>
      </c>
      <c r="O29">
        <v>1</v>
      </c>
      <c r="P29">
        <v>24772.92</v>
      </c>
      <c r="Q29">
        <v>19</v>
      </c>
      <c r="R29">
        <v>15071.18</v>
      </c>
      <c r="S29" t="s">
        <v>73</v>
      </c>
    </row>
    <row r="30" spans="1:19" x14ac:dyDescent="0.3">
      <c r="A30" t="s">
        <v>74</v>
      </c>
      <c r="B30" t="s">
        <v>36</v>
      </c>
      <c r="D30">
        <v>66</v>
      </c>
      <c r="E30">
        <v>23</v>
      </c>
      <c r="F30">
        <v>50</v>
      </c>
      <c r="G30">
        <v>18305</v>
      </c>
      <c r="H30">
        <v>0</v>
      </c>
      <c r="I30">
        <v>0</v>
      </c>
      <c r="J30">
        <v>38</v>
      </c>
      <c r="K30">
        <v>13911.8</v>
      </c>
      <c r="L30">
        <v>1</v>
      </c>
      <c r="M30">
        <v>366.1</v>
      </c>
      <c r="N30">
        <v>0</v>
      </c>
      <c r="O30">
        <v>0</v>
      </c>
      <c r="P30">
        <v>18305</v>
      </c>
      <c r="Q30">
        <v>9</v>
      </c>
      <c r="R30">
        <v>3294.9</v>
      </c>
      <c r="S30" t="s">
        <v>75</v>
      </c>
    </row>
    <row r="31" spans="1:1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>
        <f>SUM(K8:K30)</f>
        <v>140396.71040000001</v>
      </c>
      <c r="L31" s="1"/>
      <c r="M31" s="1">
        <f>SUM(M8:M30)</f>
        <v>205003.24450000003</v>
      </c>
      <c r="N31" s="1"/>
      <c r="O31" s="1"/>
      <c r="P31" s="1"/>
      <c r="Q31" s="1"/>
      <c r="R31" s="1">
        <f>SUM(R8:R30)</f>
        <v>282663.49</v>
      </c>
      <c r="S31" s="1"/>
    </row>
    <row r="32" spans="1:19" x14ac:dyDescent="0.3">
      <c r="A32" s="2" t="s">
        <v>81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3">
      <c r="A33" s="2" t="s">
        <v>82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3">
      <c r="A34" s="2" t="s">
        <v>83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">
      <c r="A35" s="2" t="s">
        <v>84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">
      <c r="A36" s="2" t="s">
        <v>85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">
      <c r="A37" s="2" t="s">
        <v>86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3">
      <c r="A38" s="2" t="s">
        <v>87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</sheetData>
  <mergeCells count="13">
    <mergeCell ref="A6:S6"/>
    <mergeCell ref="A1:S1"/>
    <mergeCell ref="A2:S2"/>
    <mergeCell ref="A3:S3"/>
    <mergeCell ref="A4:S4"/>
    <mergeCell ref="A5:S5"/>
    <mergeCell ref="A38:S38"/>
    <mergeCell ref="A32:S32"/>
    <mergeCell ref="A33:S33"/>
    <mergeCell ref="A34:S34"/>
    <mergeCell ref="A35:S35"/>
    <mergeCell ref="A36:S36"/>
    <mergeCell ref="A37:S3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 LABORATORIES PVT LTD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Narendra kalwani</cp:lastModifiedBy>
  <dcterms:created xsi:type="dcterms:W3CDTF">2026-08-01T07:10:15Z</dcterms:created>
  <dcterms:modified xsi:type="dcterms:W3CDTF">2026-08-04T08:06:28Z</dcterms:modified>
</cp:coreProperties>
</file>