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a\davaw\XLS\"/>
    </mc:Choice>
  </mc:AlternateContent>
  <xr:revisionPtr revIDLastSave="0" documentId="8_{EA7F9FF3-9843-467C-844C-100880FC1B7E}" xr6:coauthVersionLast="36" xr6:coauthVersionMax="36" xr10:uidLastSave="{00000000-0000-0000-0000-000000000000}"/>
  <bookViews>
    <workbookView xWindow="0" yWindow="0" windowWidth="21570" windowHeight="9915"/>
  </bookViews>
  <sheets>
    <sheet name="JUL-SSD300" sheetId="1" r:id="rId1"/>
  </sheets>
  <calcPr calcId="0"/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<sst xmlns="http://schemas.openxmlformats.org/spreadsheetml/2006/main" count="99" uniqueCount="54">
  <si>
    <t>ACTIVE MF CREAM</t>
  </si>
  <si>
    <t>100 GM</t>
  </si>
  <si>
    <t>33049910</t>
  </si>
  <si>
    <t>ACTIVE MF LOTION</t>
  </si>
  <si>
    <t>200 ML</t>
  </si>
  <si>
    <t>33049930</t>
  </si>
  <si>
    <t>AMORFINE CREAM</t>
  </si>
  <si>
    <t>30049099</t>
  </si>
  <si>
    <t>ANCESTAL FACE WASH</t>
  </si>
  <si>
    <t>100 ML</t>
  </si>
  <si>
    <t>34013090</t>
  </si>
  <si>
    <t>BILAZO 20 MG</t>
  </si>
  <si>
    <t>10 TAB</t>
  </si>
  <si>
    <t>BILAZO 40 MG</t>
  </si>
  <si>
    <t>EBERNET + CREAM</t>
  </si>
  <si>
    <t xml:space="preserve"> 30 gm</t>
  </si>
  <si>
    <t>EBERNET CREAM</t>
  </si>
  <si>
    <t xml:space="preserve"> 15 Gm</t>
  </si>
  <si>
    <t xml:space="preserve"> 30 Gm</t>
  </si>
  <si>
    <t xml:space="preserve"> 60 Gm</t>
  </si>
  <si>
    <t>EBERNET LOT</t>
  </si>
  <si>
    <t xml:space="preserve"> 40 gm</t>
  </si>
  <si>
    <t>30049029</t>
  </si>
  <si>
    <t>EBERNET M CREAM</t>
  </si>
  <si>
    <t xml:space="preserve"> 10 GM</t>
  </si>
  <si>
    <t>KCLITE GOLD CREAM</t>
  </si>
  <si>
    <t xml:space="preserve"> 20 GM</t>
  </si>
  <si>
    <t>KERAGRIS HAIR SERUM</t>
  </si>
  <si>
    <t xml:space="preserve"> 60 ML</t>
  </si>
  <si>
    <t>33051090</t>
  </si>
  <si>
    <t>LINTAR SCALP SOLUTION</t>
  </si>
  <si>
    <t>MOIMAX OC MOISTURIZER</t>
  </si>
  <si>
    <t xml:space="preserve"> 75 GM</t>
  </si>
  <si>
    <t>33049990</t>
  </si>
  <si>
    <t>PROTEK AD SHAMPOO</t>
  </si>
  <si>
    <t>PSORAXIB LOTION</t>
  </si>
  <si>
    <t>150 ML</t>
  </si>
  <si>
    <t>VMELA GEL</t>
  </si>
  <si>
    <t xml:space="preserve"> 30 GM</t>
  </si>
  <si>
    <t/>
  </si>
  <si>
    <t>OPENING :  133402.21</t>
  </si>
  <si>
    <t>PURCHASE :   38647.80</t>
  </si>
  <si>
    <t>SALES :   29594.11</t>
  </si>
  <si>
    <t>UC SALE :    1199.36</t>
  </si>
  <si>
    <t>CL.STK.:  149175.14</t>
  </si>
  <si>
    <t>Opening On SaleRate:  148224.3</t>
  </si>
  <si>
    <t>Purchase On SaleRate:   42942.</t>
  </si>
  <si>
    <t>Closing On SaleRate:  165749.7</t>
  </si>
  <si>
    <t xml:space="preserve">MAHARASHTRA AGENCY                      </t>
  </si>
  <si>
    <t>46/2 PARVATI, PLOT NO.9,                 From : 01/07/26</t>
  </si>
  <si>
    <t>KAKA HALWAI IND EST,NR BHAPKAR PUMP,     To : 31/07/26</t>
  </si>
  <si>
    <t>OFF SATARA ROAD,PUNE-411009.            Report Date :  1-Aug-2026</t>
  </si>
  <si>
    <t>STOCK &amp; SALE STATEMENT</t>
  </si>
  <si>
    <t>Company Name : LINUX LABS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</si>
</sst>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pane ySplit="7" topLeftCell="A8" activePane="bottomLeft" state="frozen"/>
      <selection pane="bottomLeft" activeCell="A8" sqref="A8:O8"/>
    </sheetView>
  </sheetViews>
  <sheetFormatPr defaultRowHeight="15" x14ac:dyDescent="0.25"/>
  <cols>
    <col min="1" max="1" width="29.28515625" bestFit="1" customWidth="1"/>
    <col min="2" max="2" width="7.42578125" bestFit="1" customWidth="1"/>
    <col min="3" max="3" width="9.7109375" bestFit="1" customWidth="1"/>
    <col min="4" max="4" width="8.42578125" bestFit="1" customWidth="1"/>
    <col min="5" max="5" width="8" bestFit="1" customWidth="1"/>
    <col min="6" max="6" width="8.85546875" bestFit="1" customWidth="1"/>
    <col min="7" max="7" width="7.28515625" bestFit="1" customWidth="1"/>
    <col min="8" max="8" width="7.140625" bestFit="1" customWidth="1"/>
    <col min="9" max="9" width="10.140625" bestFit="1" customWidth="1"/>
    <col min="10" max="10" width="10" bestFit="1" customWidth="1"/>
    <col min="11" max="11" width="8.7109375" bestFit="1" customWidth="1"/>
    <col min="12" max="12" width="9.140625" bestFit="1" customWidth="1"/>
    <col min="13" max="13" width="10" bestFit="1" customWidth="1"/>
    <col min="14" max="14" width="10.140625" bestFit="1" customWidth="1"/>
    <col min="15" max="15" width="8.28515625" bestFit="1" customWidth="1"/>
  </cols>
  <sheetData>
    <row r="1" spans="1:15" x14ac:dyDescent="0.2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 t="s">
        <v>52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53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tr">
        <f>UPPER("name")</f>
        <v>NAME</v>
      </c>
      <c r="B7" s="3" t="str">
        <f>UPPER("pack")</f>
        <v>PACK</v>
      </c>
      <c r="C7" s="3" t="str">
        <f>UPPER("openstk")</f>
        <v>OPENSTK</v>
      </c>
      <c r="D7" s="3" t="str">
        <f>UPPER("purstk")</f>
        <v>PURSTK</v>
      </c>
      <c r="E7" s="3" t="str">
        <f>UPPER("crestk")</f>
        <v>CRESTK</v>
      </c>
      <c r="F7" s="3" t="str">
        <f>UPPER("salestk")</f>
        <v>SALESTK</v>
      </c>
      <c r="G7" s="3" t="str">
        <f>UPPER("ucstk")</f>
        <v>UCSTK</v>
      </c>
      <c r="H7" s="3" t="str">
        <f>UPPER("dbstk")</f>
        <v>DBSTK</v>
      </c>
      <c r="I7" s="3" t="str">
        <f>UPPER("closestk")</f>
        <v>CLOSESTK</v>
      </c>
      <c r="J7" s="3" t="str">
        <f>UPPER("openval")</f>
        <v>OPENVAL</v>
      </c>
      <c r="K7" s="3" t="str">
        <f>UPPER("purval")</f>
        <v>PURVAL</v>
      </c>
      <c r="L7" s="3" t="str">
        <f>UPPER("saleval")</f>
        <v>SALEVAL</v>
      </c>
      <c r="M7" s="3" t="str">
        <f>UPPER("clsval")</f>
        <v>CLSVAL</v>
      </c>
      <c r="N7" s="3" t="str">
        <f>UPPER("hsncode")</f>
        <v>HSNCODE</v>
      </c>
      <c r="O7" s="3" t="str">
        <f>UPPER("taxper")</f>
        <v>TAXPER</v>
      </c>
    </row>
    <row r="8" spans="1:15" x14ac:dyDescent="0.25">
      <c r="A8" t="s">
        <v>0</v>
      </c>
      <c r="B8" t="s">
        <v>1</v>
      </c>
      <c r="C8">
        <v>15</v>
      </c>
      <c r="D8">
        <v>0</v>
      </c>
      <c r="E8">
        <v>0</v>
      </c>
      <c r="F8">
        <v>1</v>
      </c>
      <c r="G8">
        <v>0</v>
      </c>
      <c r="H8">
        <v>0</v>
      </c>
      <c r="I8">
        <v>14</v>
      </c>
      <c r="J8">
        <v>3953.85</v>
      </c>
      <c r="K8">
        <v>0</v>
      </c>
      <c r="L8">
        <v>292.88</v>
      </c>
      <c r="M8">
        <v>3690.26</v>
      </c>
      <c r="N8" t="s">
        <v>2</v>
      </c>
      <c r="O8">
        <v>18</v>
      </c>
    </row>
    <row r="9" spans="1:15" x14ac:dyDescent="0.25">
      <c r="A9" t="s">
        <v>3</v>
      </c>
      <c r="B9" t="s">
        <v>4</v>
      </c>
      <c r="C9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10</v>
      </c>
      <c r="J9">
        <v>3990.5</v>
      </c>
      <c r="K9">
        <v>0</v>
      </c>
      <c r="L9">
        <v>0</v>
      </c>
      <c r="M9">
        <v>3990.5</v>
      </c>
      <c r="N9" t="s">
        <v>5</v>
      </c>
      <c r="O9">
        <v>18</v>
      </c>
    </row>
    <row r="10" spans="1:15" x14ac:dyDescent="0.25">
      <c r="A10" t="s">
        <v>6</v>
      </c>
      <c r="B10" t="s">
        <v>4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10</v>
      </c>
      <c r="J10">
        <v>2681.8</v>
      </c>
      <c r="K10">
        <v>0</v>
      </c>
      <c r="L10">
        <v>0</v>
      </c>
      <c r="M10">
        <v>2681.8</v>
      </c>
      <c r="N10" t="s">
        <v>7</v>
      </c>
      <c r="O10">
        <v>5</v>
      </c>
    </row>
    <row r="11" spans="1:15" x14ac:dyDescent="0.25">
      <c r="A11" t="s">
        <v>8</v>
      </c>
      <c r="B11" t="s">
        <v>9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1308.8499999999999</v>
      </c>
      <c r="K11">
        <v>0</v>
      </c>
      <c r="L11">
        <v>0</v>
      </c>
      <c r="M11">
        <v>1308.8499999999999</v>
      </c>
      <c r="N11" t="s">
        <v>10</v>
      </c>
      <c r="O11">
        <v>18</v>
      </c>
    </row>
    <row r="12" spans="1:15" x14ac:dyDescent="0.25">
      <c r="A12" t="s">
        <v>11</v>
      </c>
      <c r="B12" t="s">
        <v>12</v>
      </c>
      <c r="C12">
        <v>19</v>
      </c>
      <c r="D12">
        <v>0</v>
      </c>
      <c r="E12">
        <v>0</v>
      </c>
      <c r="F12">
        <v>1</v>
      </c>
      <c r="G12">
        <v>0</v>
      </c>
      <c r="H12">
        <v>0</v>
      </c>
      <c r="I12">
        <v>18</v>
      </c>
      <c r="J12">
        <v>1856.49</v>
      </c>
      <c r="K12">
        <v>0</v>
      </c>
      <c r="L12">
        <v>108.57</v>
      </c>
      <c r="M12">
        <v>1758.78</v>
      </c>
      <c r="N12" t="s">
        <v>7</v>
      </c>
      <c r="O12">
        <v>5</v>
      </c>
    </row>
    <row r="13" spans="1:15" x14ac:dyDescent="0.25">
      <c r="A13" t="s">
        <v>13</v>
      </c>
      <c r="B13" t="s">
        <v>12</v>
      </c>
      <c r="C13">
        <v>17</v>
      </c>
      <c r="D13">
        <v>0</v>
      </c>
      <c r="E13">
        <v>0</v>
      </c>
      <c r="F13">
        <v>0</v>
      </c>
      <c r="G13">
        <v>0</v>
      </c>
      <c r="H13">
        <v>0</v>
      </c>
      <c r="I13">
        <v>17</v>
      </c>
      <c r="J13">
        <v>2448</v>
      </c>
      <c r="K13">
        <v>0</v>
      </c>
      <c r="L13">
        <v>0</v>
      </c>
      <c r="M13">
        <v>2448</v>
      </c>
      <c r="N13" t="s">
        <v>7</v>
      </c>
      <c r="O13">
        <v>5</v>
      </c>
    </row>
    <row r="14" spans="1:15" x14ac:dyDescent="0.25">
      <c r="A14" t="s">
        <v>14</v>
      </c>
      <c r="B14" t="s">
        <v>15</v>
      </c>
      <c r="C14">
        <v>40</v>
      </c>
      <c r="D14">
        <v>0</v>
      </c>
      <c r="E14">
        <v>0</v>
      </c>
      <c r="F14">
        <v>2</v>
      </c>
      <c r="G14">
        <v>0</v>
      </c>
      <c r="H14">
        <v>0</v>
      </c>
      <c r="I14">
        <v>38</v>
      </c>
      <c r="J14">
        <v>16009.6</v>
      </c>
      <c r="K14">
        <v>0</v>
      </c>
      <c r="L14">
        <v>889.42</v>
      </c>
      <c r="M14">
        <v>15209.12</v>
      </c>
      <c r="N14" t="s">
        <v>7</v>
      </c>
      <c r="O14">
        <v>5</v>
      </c>
    </row>
    <row r="15" spans="1:15" x14ac:dyDescent="0.25">
      <c r="A15" t="s">
        <v>16</v>
      </c>
      <c r="B15" t="s">
        <v>17</v>
      </c>
      <c r="C15">
        <v>0</v>
      </c>
      <c r="D15">
        <v>60</v>
      </c>
      <c r="E15">
        <v>0</v>
      </c>
      <c r="F15">
        <v>48</v>
      </c>
      <c r="G15">
        <v>2</v>
      </c>
      <c r="H15">
        <v>0</v>
      </c>
      <c r="I15">
        <v>10</v>
      </c>
      <c r="J15">
        <v>0</v>
      </c>
      <c r="K15">
        <v>14637</v>
      </c>
      <c r="L15">
        <v>11655.58</v>
      </c>
      <c r="M15">
        <v>2439.5</v>
      </c>
      <c r="N15" t="s">
        <v>7</v>
      </c>
      <c r="O15">
        <v>5</v>
      </c>
    </row>
    <row r="16" spans="1:15" x14ac:dyDescent="0.25">
      <c r="A16" t="s">
        <v>16</v>
      </c>
      <c r="B16" t="s">
        <v>18</v>
      </c>
      <c r="C16">
        <v>6</v>
      </c>
      <c r="D16">
        <v>60</v>
      </c>
      <c r="E16">
        <v>1</v>
      </c>
      <c r="F16">
        <v>22</v>
      </c>
      <c r="G16">
        <v>0</v>
      </c>
      <c r="H16">
        <v>0</v>
      </c>
      <c r="I16">
        <v>45</v>
      </c>
      <c r="J16">
        <v>2401.08</v>
      </c>
      <c r="K16">
        <v>24010.799999999999</v>
      </c>
      <c r="L16">
        <v>8892.7999999999993</v>
      </c>
      <c r="M16">
        <v>18008.099999999999</v>
      </c>
      <c r="N16" t="s">
        <v>7</v>
      </c>
      <c r="O16">
        <v>5</v>
      </c>
    </row>
    <row r="17" spans="1:15" x14ac:dyDescent="0.25">
      <c r="A17" t="s">
        <v>16</v>
      </c>
      <c r="B17" t="s">
        <v>19</v>
      </c>
      <c r="C17">
        <v>39</v>
      </c>
      <c r="D17">
        <v>0</v>
      </c>
      <c r="E17">
        <v>11</v>
      </c>
      <c r="F17">
        <v>6</v>
      </c>
      <c r="G17">
        <v>0</v>
      </c>
      <c r="H17">
        <v>0</v>
      </c>
      <c r="I17">
        <v>44</v>
      </c>
      <c r="J17">
        <v>25190.49</v>
      </c>
      <c r="K17">
        <v>0</v>
      </c>
      <c r="L17">
        <v>3588.4</v>
      </c>
      <c r="M17">
        <v>28420.04</v>
      </c>
      <c r="N17" t="s">
        <v>7</v>
      </c>
      <c r="O17">
        <v>5</v>
      </c>
    </row>
    <row r="18" spans="1:15" x14ac:dyDescent="0.25">
      <c r="A18" t="s">
        <v>20</v>
      </c>
      <c r="B18" t="s">
        <v>21</v>
      </c>
      <c r="C18">
        <v>60</v>
      </c>
      <c r="D18">
        <v>0</v>
      </c>
      <c r="E18">
        <v>0</v>
      </c>
      <c r="F18">
        <v>3</v>
      </c>
      <c r="G18">
        <v>0</v>
      </c>
      <c r="H18">
        <v>0</v>
      </c>
      <c r="I18">
        <v>57</v>
      </c>
      <c r="J18">
        <v>29015.4</v>
      </c>
      <c r="K18">
        <v>0</v>
      </c>
      <c r="L18">
        <v>1611.96</v>
      </c>
      <c r="M18">
        <v>27564.63</v>
      </c>
      <c r="N18" t="s">
        <v>22</v>
      </c>
      <c r="O18">
        <v>5</v>
      </c>
    </row>
    <row r="19" spans="1:15" x14ac:dyDescent="0.25">
      <c r="A19" t="s">
        <v>23</v>
      </c>
      <c r="B19" t="s">
        <v>24</v>
      </c>
      <c r="C19">
        <v>30</v>
      </c>
      <c r="D19">
        <v>0</v>
      </c>
      <c r="E19">
        <v>0</v>
      </c>
      <c r="F19">
        <v>6</v>
      </c>
      <c r="G19">
        <v>2</v>
      </c>
      <c r="H19">
        <v>0</v>
      </c>
      <c r="I19">
        <v>22</v>
      </c>
      <c r="J19">
        <v>8872.7999999999993</v>
      </c>
      <c r="K19">
        <v>0</v>
      </c>
      <c r="L19">
        <v>1971.72</v>
      </c>
      <c r="M19">
        <v>6506.72</v>
      </c>
      <c r="N19" t="s">
        <v>7</v>
      </c>
      <c r="O19">
        <v>5</v>
      </c>
    </row>
    <row r="20" spans="1:15" x14ac:dyDescent="0.25">
      <c r="A20" t="s">
        <v>25</v>
      </c>
      <c r="B20" t="s">
        <v>26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9</v>
      </c>
      <c r="J20">
        <v>3014.82</v>
      </c>
      <c r="K20">
        <v>0</v>
      </c>
      <c r="L20">
        <v>0</v>
      </c>
      <c r="M20">
        <v>3014.82</v>
      </c>
      <c r="N20" t="s">
        <v>2</v>
      </c>
      <c r="O20">
        <v>18</v>
      </c>
    </row>
    <row r="21" spans="1:15" x14ac:dyDescent="0.25">
      <c r="A21" t="s">
        <v>27</v>
      </c>
      <c r="B21" t="s">
        <v>28</v>
      </c>
      <c r="C21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18</v>
      </c>
      <c r="J21">
        <v>15683.94</v>
      </c>
      <c r="K21">
        <v>0</v>
      </c>
      <c r="L21">
        <v>0</v>
      </c>
      <c r="M21">
        <v>15683.94</v>
      </c>
      <c r="N21" t="s">
        <v>29</v>
      </c>
      <c r="O21">
        <v>18</v>
      </c>
    </row>
    <row r="22" spans="1:15" x14ac:dyDescent="0.25">
      <c r="A22" t="s">
        <v>30</v>
      </c>
      <c r="B22" t="s">
        <v>9</v>
      </c>
      <c r="C22">
        <v>9</v>
      </c>
      <c r="D22">
        <v>0</v>
      </c>
      <c r="E22">
        <v>0</v>
      </c>
      <c r="F22">
        <v>1</v>
      </c>
      <c r="G22">
        <v>0</v>
      </c>
      <c r="H22">
        <v>0</v>
      </c>
      <c r="I22">
        <v>8</v>
      </c>
      <c r="J22">
        <v>3106.71</v>
      </c>
      <c r="K22">
        <v>0</v>
      </c>
      <c r="L22">
        <v>383.54</v>
      </c>
      <c r="M22">
        <v>2761.52</v>
      </c>
      <c r="N22" t="s">
        <v>7</v>
      </c>
      <c r="O22">
        <v>5</v>
      </c>
    </row>
    <row r="23" spans="1:15" x14ac:dyDescent="0.25">
      <c r="A23" t="s">
        <v>31</v>
      </c>
      <c r="B23" t="s">
        <v>32</v>
      </c>
      <c r="C23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10</v>
      </c>
      <c r="J23">
        <v>3478</v>
      </c>
      <c r="K23">
        <v>0</v>
      </c>
      <c r="L23">
        <v>0</v>
      </c>
      <c r="M23">
        <v>3478</v>
      </c>
      <c r="N23" t="s">
        <v>33</v>
      </c>
      <c r="O23">
        <v>18</v>
      </c>
    </row>
    <row r="24" spans="1:15" x14ac:dyDescent="0.25">
      <c r="A24" t="s">
        <v>34</v>
      </c>
      <c r="B24" t="s">
        <v>9</v>
      </c>
      <c r="C24">
        <v>20</v>
      </c>
      <c r="D24">
        <v>0</v>
      </c>
      <c r="E24">
        <v>0</v>
      </c>
      <c r="F24">
        <v>1</v>
      </c>
      <c r="G24">
        <v>0</v>
      </c>
      <c r="H24">
        <v>0</v>
      </c>
      <c r="I24">
        <v>19</v>
      </c>
      <c r="J24">
        <v>3586.4</v>
      </c>
      <c r="K24">
        <v>0</v>
      </c>
      <c r="L24">
        <v>199.24</v>
      </c>
      <c r="M24">
        <v>3407.08</v>
      </c>
      <c r="N24" t="s">
        <v>7</v>
      </c>
      <c r="O24">
        <v>5</v>
      </c>
    </row>
    <row r="25" spans="1:15" x14ac:dyDescent="0.25">
      <c r="A25" t="s">
        <v>35</v>
      </c>
      <c r="B25" t="s">
        <v>36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3343.8</v>
      </c>
      <c r="K25">
        <v>0</v>
      </c>
      <c r="L25">
        <v>0</v>
      </c>
      <c r="M25">
        <v>3343.8</v>
      </c>
      <c r="N25" t="s">
        <v>33</v>
      </c>
      <c r="O25">
        <v>18</v>
      </c>
    </row>
    <row r="26" spans="1:15" x14ac:dyDescent="0.25">
      <c r="A26" t="s">
        <v>37</v>
      </c>
      <c r="B26" t="s">
        <v>38</v>
      </c>
      <c r="C26">
        <v>14</v>
      </c>
      <c r="D26">
        <v>0</v>
      </c>
      <c r="E26">
        <v>0</v>
      </c>
      <c r="F26">
        <v>0</v>
      </c>
      <c r="G26">
        <v>0</v>
      </c>
      <c r="H26">
        <v>0</v>
      </c>
      <c r="I26">
        <v>14</v>
      </c>
      <c r="J26">
        <v>3459.68</v>
      </c>
      <c r="K26">
        <v>0</v>
      </c>
      <c r="L26">
        <v>0</v>
      </c>
      <c r="M26">
        <v>3459.68</v>
      </c>
      <c r="N26" t="s">
        <v>2</v>
      </c>
      <c r="O26">
        <v>18</v>
      </c>
    </row>
    <row r="27" spans="1:15" x14ac:dyDescent="0.25">
      <c r="A27" t="s">
        <v>39</v>
      </c>
      <c r="B2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39</v>
      </c>
      <c r="O27">
        <v>0</v>
      </c>
    </row>
    <row r="28" spans="1:15" x14ac:dyDescent="0.25">
      <c r="A28" t="s">
        <v>39</v>
      </c>
      <c r="B28" t="s">
        <v>39</v>
      </c>
      <c r="C28">
        <v>341</v>
      </c>
      <c r="D28">
        <v>120</v>
      </c>
      <c r="E28">
        <v>12</v>
      </c>
      <c r="F28">
        <v>91</v>
      </c>
      <c r="G28">
        <v>1199</v>
      </c>
      <c r="H28">
        <v>0</v>
      </c>
      <c r="I28">
        <v>378</v>
      </c>
      <c r="J28">
        <v>133402.21</v>
      </c>
      <c r="K28">
        <v>38647.800000000003</v>
      </c>
      <c r="L28">
        <v>29594.11</v>
      </c>
      <c r="M28">
        <v>149175.14000000001</v>
      </c>
      <c r="N28" t="s">
        <v>39</v>
      </c>
      <c r="O28">
        <v>0</v>
      </c>
    </row>
    <row r="29" spans="1:15" x14ac:dyDescent="0.25">
      <c r="A29" t="s">
        <v>39</v>
      </c>
      <c r="B29" t="s">
        <v>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39</v>
      </c>
      <c r="O29">
        <v>0</v>
      </c>
    </row>
    <row r="30" spans="1:15" x14ac:dyDescent="0.25">
      <c r="A30" t="s">
        <v>40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39</v>
      </c>
      <c r="O30">
        <v>0</v>
      </c>
    </row>
    <row r="31" spans="1:15" x14ac:dyDescent="0.25">
      <c r="A31" t="s">
        <v>41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39</v>
      </c>
      <c r="O31">
        <v>0</v>
      </c>
    </row>
    <row r="32" spans="1:15" x14ac:dyDescent="0.25">
      <c r="A32" t="s">
        <v>42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39</v>
      </c>
      <c r="O32">
        <v>0</v>
      </c>
    </row>
    <row r="33" spans="1:15" x14ac:dyDescent="0.25">
      <c r="A33" t="s">
        <v>43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39</v>
      </c>
      <c r="O33">
        <v>0</v>
      </c>
    </row>
    <row r="34" spans="1:15" x14ac:dyDescent="0.25">
      <c r="A34" t="s">
        <v>44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39</v>
      </c>
      <c r="O34">
        <v>0</v>
      </c>
    </row>
    <row r="35" spans="1:15" x14ac:dyDescent="0.25">
      <c r="A35" t="s">
        <v>45</v>
      </c>
      <c r="B35" t="s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39</v>
      </c>
      <c r="O35">
        <v>0</v>
      </c>
    </row>
    <row r="36" spans="1:15" x14ac:dyDescent="0.25">
      <c r="A36" t="s">
        <v>46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39</v>
      </c>
      <c r="O36">
        <v>0</v>
      </c>
    </row>
    <row r="37" spans="1:15" x14ac:dyDescent="0.25">
      <c r="A37" t="s">
        <v>47</v>
      </c>
      <c r="B37" t="s">
        <v>39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39</v>
      </c>
      <c r="O37">
        <v>0</v>
      </c>
    </row>
    <row r="38" spans="1:15" x14ac:dyDescent="0.25">
      <c r="A38" t="s">
        <v>39</v>
      </c>
      <c r="B38" t="s">
        <v>39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39</v>
      </c>
      <c r="O38">
        <v>0</v>
      </c>
    </row>
  </sheetData>
  <mergeCells count="6">
    <mergeCell ref="A1:O1"/>
    <mergeCell ref="A2:O2"/>
    <mergeCell ref="A3:O3"/>
    <mergeCell ref="A4:O4"/>
    <mergeCell ref="A5:O5"/>
    <mergeCell ref="A6:O6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JUL-SSD300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</cp:lastModifiedBy>
  <dcterms:created xsi:type="dcterms:W3CDTF">2026-08-01T05:05:31Z</dcterms:created>
  <dcterms:modified xsi:type="dcterms:W3CDTF">2026-08-01T05:05:31Z</dcterms:modified>
</cp:coreProperties>
</file>