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5360" windowHeight="9675" activeTab="0"/>
  </bookViews>
  <sheets>
    <sheet name="Stock and Sale Analysi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<sst xmlns="http://schemas.openxmlformats.org/spreadsheetml/2006/main" uniqueCount="110" count="110">
  <si>
    <t>CAPSULES</t>
  </si>
  <si>
    <t>97205</t>
  </si>
  <si>
    <t>CYCLONOX 100MG CAP</t>
  </si>
  <si>
    <t>5CAP</t>
  </si>
  <si>
    <t>94917</t>
  </si>
  <si>
    <t>DOSIL 500MG CAP</t>
  </si>
  <si>
    <t>10CAP</t>
  </si>
  <si>
    <t>84459</t>
  </si>
  <si>
    <t>IBITRA 100MG CAP</t>
  </si>
  <si>
    <t>Total Value (CAPSULES)</t>
  </si>
  <si>
    <t>CREAM</t>
  </si>
  <si>
    <t>92814</t>
  </si>
  <si>
    <t>ACTIVE MF MOISTURISING CREAM</t>
  </si>
  <si>
    <t>100GM</t>
  </si>
  <si>
    <t>2372</t>
  </si>
  <si>
    <t>EBERNET CREAM</t>
  </si>
  <si>
    <t>15GM</t>
  </si>
  <si>
    <t>64687</t>
  </si>
  <si>
    <t>30GM</t>
  </si>
  <si>
    <t>71728</t>
  </si>
  <si>
    <t>60GM</t>
  </si>
  <si>
    <t>80814</t>
  </si>
  <si>
    <t>EBERNET LOT CREAM</t>
  </si>
  <si>
    <t>40GM</t>
  </si>
  <si>
    <t>49415</t>
  </si>
  <si>
    <t>EBERNET M CREAM</t>
  </si>
  <si>
    <t>89013</t>
  </si>
  <si>
    <t>EBERNET PLUS CREAM</t>
  </si>
  <si>
    <t>103921</t>
  </si>
  <si>
    <t>KC LITE GOLD CREAM</t>
  </si>
  <si>
    <t>20GM</t>
  </si>
  <si>
    <t>85346</t>
  </si>
  <si>
    <t>MOIMAX OC CREAM</t>
  </si>
  <si>
    <t>75GM</t>
  </si>
  <si>
    <t>95702</t>
  </si>
  <si>
    <t>OXYTAN CREAM</t>
  </si>
  <si>
    <t>50GM</t>
  </si>
  <si>
    <t>Total Value (CREAM)</t>
  </si>
  <si>
    <t>GEL</t>
  </si>
  <si>
    <t>77148</t>
  </si>
  <si>
    <t>ADAPERO GEL</t>
  </si>
  <si>
    <t>95560</t>
  </si>
  <si>
    <t>VMELA GEL</t>
  </si>
  <si>
    <t>Total Value (GEL)</t>
  </si>
  <si>
    <t>HAIR SERUM</t>
  </si>
  <si>
    <t>97784</t>
  </si>
  <si>
    <t>KERAGRIS SERUM</t>
  </si>
  <si>
    <t>60ML</t>
  </si>
  <si>
    <t>Total Value (HAIR SERUM)</t>
  </si>
  <si>
    <t>LOTIONS</t>
  </si>
  <si>
    <t>102338</t>
  </si>
  <si>
    <t>ACTIVE MF LOTION</t>
  </si>
  <si>
    <t>200ML</t>
  </si>
  <si>
    <t>Total Value (LOTIONS)</t>
  </si>
  <si>
    <t>SOAP</t>
  </si>
  <si>
    <t>94437</t>
  </si>
  <si>
    <t>ACTIVE MF SOAP</t>
  </si>
  <si>
    <t>120557</t>
  </si>
  <si>
    <t>HIKIDZ BATHING BAR</t>
  </si>
  <si>
    <t>Total Value (SOAP)</t>
  </si>
  <si>
    <t>SOLUTION</t>
  </si>
  <si>
    <t>117052</t>
  </si>
  <si>
    <t>KERAGRIS MFR SOLUTION</t>
  </si>
  <si>
    <t>Total Value (SOLUTION)</t>
  </si>
  <si>
    <t>TABLETS</t>
  </si>
  <si>
    <t>92519</t>
  </si>
  <si>
    <t>APRENEXT 30MG TAB</t>
  </si>
  <si>
    <t>10TAB</t>
  </si>
  <si>
    <t>76929</t>
  </si>
  <si>
    <t>BILAZO 20MG TAB</t>
  </si>
  <si>
    <t>105903</t>
  </si>
  <si>
    <t>BILAZO 40MG TAB</t>
  </si>
  <si>
    <t>121189</t>
  </si>
  <si>
    <t>KEROFA COMBIKIT</t>
  </si>
  <si>
    <t>1KIT</t>
  </si>
  <si>
    <t>123806</t>
  </si>
  <si>
    <t>RDL 10MG TAB</t>
  </si>
  <si>
    <t>19478</t>
  </si>
  <si>
    <t>TRIEXER 1MG TAB</t>
  </si>
  <si>
    <t>19479</t>
  </si>
  <si>
    <t>TRIEXER 2MG TAB</t>
  </si>
  <si>
    <t>1328</t>
  </si>
  <si>
    <t>VYSOV 50MG TAB</t>
  </si>
  <si>
    <t>15TAB</t>
  </si>
  <si>
    <t>101415</t>
  </si>
  <si>
    <t>VYSOV D 100/5MG TAB</t>
  </si>
  <si>
    <t>98512</t>
  </si>
  <si>
    <t>VYSOV D 100MG/10MG TAB</t>
  </si>
  <si>
    <t>53507</t>
  </si>
  <si>
    <t>VYSOV M 50MG/1000MG TAB</t>
  </si>
  <si>
    <t>53506</t>
  </si>
  <si>
    <t>VYSOV M 50MG/500MG TAB</t>
  </si>
  <si>
    <t>93039</t>
  </si>
  <si>
    <t>VYSOV XR 100MG TAB</t>
  </si>
  <si>
    <t>Total Value (TABLETS)</t>
  </si>
  <si>
    <t>Total</t>
  </si>
  <si>
    <t>NEW WELCOME AGENCIES PRIVATE LIMITED</t>
  </si>
  <si>
    <t>TENEMENT NO. 2/7,2/8,2/9,2/10, GRD AND FIRST FLOOR SWEEPERS COLONY,MOTILAL NAGAR NO-1,GOREGOAN WEST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</si>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</sst>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9">
    <font>
      <name val="Arial"/>
      <sz val="10"/>
    </font>
    <font>
      <name val="Arial"/>
      <sz val="7"/>
      <color rgb="FF000000"/>
    </font>
    <font>
      <name val="Calibri"/>
      <b/>
      <sz val="12"/>
      <color indexed="16"/>
    </font>
    <font>
      <name val="Calibri"/>
      <b/>
      <sz val="10"/>
      <color indexed="58"/>
    </font>
    <font>
      <name val="Calibri"/>
      <b/>
      <u/>
      <sz val="12"/>
      <color indexed="16"/>
    </font>
    <font>
      <name val="Calibri"/>
      <b/>
      <sz val="10"/>
      <color indexed="12"/>
    </font>
    <font>
      <name val="Calibri"/>
      <b/>
      <sz val="8"/>
      <color indexed="16"/>
    </font>
    <font>
      <name val="Calibri"/>
      <sz val="8"/>
      <color rgb="FF000000"/>
    </font>
    <font>
      <name val="Calibri"/>
      <b/>
      <sz val="8"/>
      <color rgb="FF0000FF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center" wrapText="1"/>
    </xf>
    <xf numFmtId="2" fontId="6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2" fontId="8" fillId="3" borderId="1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95"/>
  <sheetViews>
    <sheetView tabSelected="1" workbookViewId="0" topLeftCell="E1" zoomScale="107">
      <selection activeCell="I31" sqref="I31"/>
    </sheetView>
  </sheetViews>
  <sheetFormatPr defaultRowHeight="10.7" customHeight="1" defaultColWidth="10"/>
  <cols>
    <col min="1" max="2" customWidth="1" width="8.7109375" style="1"/>
    <col min="3" max="3" customWidth="1" width="4.7109375" style="1"/>
    <col min="4" max="10" customWidth="1" width="7.7109375" style="1"/>
    <col min="11" max="16384" customWidth="0" width="9.140625" style="1"/>
  </cols>
  <sheetData>
    <row r="1" spans="8:8" ht="19.5" customHeight="1">
      <c r="A1" s="2" t="s">
        <v>96</v>
      </c>
      <c r="B1" s="2"/>
      <c r="C1" s="2"/>
      <c r="D1" s="2"/>
      <c r="E1" s="2"/>
      <c r="F1" s="2"/>
      <c r="G1" s="2"/>
      <c r="H1" s="2"/>
      <c r="I1" s="2"/>
      <c r="J1" s="2"/>
    </row>
    <row r="2" spans="8:8" ht="14.25" customHeight="1">
      <c r="A2" s="3" t="s">
        <v>97</v>
      </c>
      <c r="B2" s="3"/>
      <c r="C2" s="3"/>
      <c r="D2" s="3"/>
      <c r="E2" s="3"/>
      <c r="F2" s="3"/>
      <c r="G2" s="3"/>
      <c r="H2" s="3"/>
      <c r="I2" s="3"/>
      <c r="J2" s="3"/>
    </row>
    <row r="3" spans="8:8" ht="18.0" customHeight="1">
      <c r="A3" s="4" t="s">
        <v>98</v>
      </c>
      <c r="B3" s="4"/>
      <c r="C3" s="4"/>
      <c r="D3" s="4"/>
      <c r="E3" s="4"/>
      <c r="F3" s="4"/>
      <c r="G3" s="4"/>
      <c r="H3" s="4"/>
      <c r="I3" s="4"/>
      <c r="J3" s="4"/>
    </row>
    <row r="4" spans="8:8" ht="15.75" customHeight="1">
      <c r="A4" s="5" t="s">
        <v>99</v>
      </c>
      <c r="B4" s="5"/>
      <c r="C4" s="5"/>
      <c r="D4" s="5"/>
      <c r="E4" s="5"/>
      <c r="F4" s="5"/>
      <c r="G4" s="5"/>
      <c r="H4" s="5"/>
      <c r="I4" s="5"/>
      <c r="J4" s="5"/>
    </row>
    <row r="5" spans="8:8" ht="22.5" customHeight="1">
      <c r="A5" s="6" t="s">
        <v>100</v>
      </c>
      <c r="B5" s="6" t="s">
        <v>101</v>
      </c>
      <c r="C5" s="6" t="s">
        <v>102</v>
      </c>
      <c r="D5" s="7" t="s">
        <v>103</v>
      </c>
      <c r="E5" s="7" t="s">
        <v>104</v>
      </c>
      <c r="F5" s="7" t="s">
        <v>105</v>
      </c>
      <c r="G5" s="7" t="s">
        <v>106</v>
      </c>
      <c r="H5" s="8" t="s">
        <v>107</v>
      </c>
      <c r="I5" s="8" t="s">
        <v>108</v>
      </c>
      <c r="J5" s="8" t="s">
        <v>109</v>
      </c>
    </row>
    <row r="6" spans="8:8" ht="10.7" customHeight="1">
      <c r="A6" s="9" t="s">
        <v>75</v>
      </c>
      <c r="B6" s="9" t="s">
        <v>76</v>
      </c>
      <c r="C6" s="9" t="s">
        <v>67</v>
      </c>
      <c r="D6" s="10">
        <v>0.0</v>
      </c>
      <c r="E6" s="10">
        <v>10.0</v>
      </c>
      <c r="F6" s="10">
        <v>0.0</v>
      </c>
      <c r="G6" s="10">
        <v>10.0</v>
      </c>
      <c r="H6" s="11">
        <v>964.1</v>
      </c>
      <c r="I6" s="11">
        <v>0.0</v>
      </c>
      <c r="J6" s="11">
        <v>964.1</v>
      </c>
    </row>
    <row r="7" spans="8:8" ht="10.7" customHeight="1">
      <c r="A7" s="9" t="s">
        <v>77</v>
      </c>
      <c r="B7" s="9" t="s">
        <v>78</v>
      </c>
      <c r="C7" s="9" t="s">
        <v>67</v>
      </c>
      <c r="D7" s="10">
        <v>4.0</v>
      </c>
      <c r="E7" s="10">
        <v>0.0</v>
      </c>
      <c r="F7" s="10">
        <v>2.0</v>
      </c>
      <c r="G7" s="10">
        <v>2.0</v>
      </c>
      <c r="H7" s="11">
        <v>0.0</v>
      </c>
      <c r="I7" s="11">
        <v>217.44</v>
      </c>
      <c r="J7" s="11">
        <v>217.44</v>
      </c>
    </row>
    <row r="8" spans="8:8" ht="10.7" customHeight="1">
      <c r="A8" s="9" t="s">
        <v>79</v>
      </c>
      <c r="B8" s="9" t="s">
        <v>80</v>
      </c>
      <c r="C8" s="9" t="s">
        <v>67</v>
      </c>
      <c r="D8" s="10">
        <v>28.0</v>
      </c>
      <c r="E8" s="10">
        <v>0.0</v>
      </c>
      <c r="F8" s="10">
        <v>5.0</v>
      </c>
      <c r="G8" s="10">
        <v>23.0</v>
      </c>
      <c r="H8" s="11">
        <v>0.0</v>
      </c>
      <c r="I8" s="11">
        <v>915.75</v>
      </c>
      <c r="J8" s="11">
        <v>4212.45</v>
      </c>
    </row>
    <row r="9" spans="8:8" ht="10.7" customHeight="1">
      <c r="A9" s="9" t="s">
        <v>81</v>
      </c>
      <c r="B9" s="9" t="s">
        <v>82</v>
      </c>
      <c r="C9" s="9" t="s">
        <v>83</v>
      </c>
      <c r="D9" s="10">
        <v>24.0</v>
      </c>
      <c r="E9" s="10">
        <v>0.0</v>
      </c>
      <c r="F9" s="10">
        <v>4.0</v>
      </c>
      <c r="G9" s="10">
        <v>20.0</v>
      </c>
      <c r="H9" s="11">
        <v>0.0</v>
      </c>
      <c r="I9" s="11">
        <v>559.0</v>
      </c>
      <c r="J9" s="11">
        <v>2795.0</v>
      </c>
    </row>
    <row r="10" spans="8:8" ht="10.7" customHeight="1">
      <c r="A10" s="9" t="s">
        <v>84</v>
      </c>
      <c r="B10" s="9" t="s">
        <v>85</v>
      </c>
      <c r="C10" s="9" t="s">
        <v>67</v>
      </c>
      <c r="D10" s="10">
        <v>12.0</v>
      </c>
      <c r="E10" s="10">
        <v>0.0</v>
      </c>
      <c r="F10" s="10">
        <v>4.0</v>
      </c>
      <c r="G10" s="10">
        <v>8.0</v>
      </c>
      <c r="H10" s="11">
        <v>0.0</v>
      </c>
      <c r="I10" s="11">
        <v>586.96</v>
      </c>
      <c r="J10" s="11">
        <v>1173.92</v>
      </c>
    </row>
    <row r="11" spans="8:8" ht="10.7" customHeight="1">
      <c r="A11" s="9" t="s">
        <v>86</v>
      </c>
      <c r="B11" s="9" t="s">
        <v>87</v>
      </c>
      <c r="C11" s="9" t="s">
        <v>67</v>
      </c>
      <c r="D11" s="10">
        <v>15.0</v>
      </c>
      <c r="E11" s="10">
        <v>0.0</v>
      </c>
      <c r="F11" s="10">
        <v>3.0</v>
      </c>
      <c r="G11" s="10">
        <v>12.0</v>
      </c>
      <c r="H11" s="11">
        <v>0.0</v>
      </c>
      <c r="I11" s="11">
        <v>463.47</v>
      </c>
      <c r="J11" s="11">
        <v>1853.88</v>
      </c>
    </row>
    <row r="12" spans="8:8" ht="10.7" customHeight="1">
      <c r="A12" s="9" t="s">
        <v>88</v>
      </c>
      <c r="B12" s="9" t="s">
        <v>89</v>
      </c>
      <c r="C12" s="9" t="s">
        <v>83</v>
      </c>
      <c r="D12" s="10">
        <v>7.0</v>
      </c>
      <c r="E12" s="10">
        <v>0.0</v>
      </c>
      <c r="F12" s="10">
        <v>4.0</v>
      </c>
      <c r="G12" s="10">
        <v>3.0</v>
      </c>
      <c r="H12" s="11">
        <v>0.0</v>
      </c>
      <c r="I12" s="11">
        <v>564.64</v>
      </c>
      <c r="J12" s="11">
        <v>423.48</v>
      </c>
    </row>
    <row r="13" spans="8:8" ht="10.7" customHeight="1">
      <c r="A13" s="9" t="s">
        <v>90</v>
      </c>
      <c r="B13" s="9" t="s">
        <v>91</v>
      </c>
      <c r="C13" s="9" t="s">
        <v>83</v>
      </c>
      <c r="D13" s="10">
        <v>35.0</v>
      </c>
      <c r="E13" s="10">
        <v>60.0</v>
      </c>
      <c r="F13" s="10">
        <v>68.0</v>
      </c>
      <c r="G13" s="10">
        <v>27.0</v>
      </c>
      <c r="H13" s="11">
        <v>8833.2</v>
      </c>
      <c r="I13" s="11">
        <v>10010.96</v>
      </c>
      <c r="J13" s="11">
        <v>3974.94</v>
      </c>
    </row>
    <row r="14" spans="8:8" ht="10.7" customHeight="1">
      <c r="A14" s="9" t="s">
        <v>92</v>
      </c>
      <c r="B14" s="9" t="s">
        <v>93</v>
      </c>
      <c r="C14" s="9" t="s">
        <v>83</v>
      </c>
      <c r="D14" s="10">
        <v>20.0</v>
      </c>
      <c r="E14" s="10">
        <v>0.0</v>
      </c>
      <c r="F14" s="10">
        <v>5.0</v>
      </c>
      <c r="G14" s="10">
        <v>15.0</v>
      </c>
      <c r="H14" s="11">
        <v>0.0</v>
      </c>
      <c r="I14" s="11">
        <v>908.55</v>
      </c>
      <c r="J14" s="11">
        <v>2725.65</v>
      </c>
    </row>
    <row r="15" spans="8:8" ht="10.7" customHeight="1">
      <c r="A15" s="12" t="s">
        <v>94</v>
      </c>
      <c r="B15" s="12"/>
      <c r="C15" s="12"/>
      <c r="D15" s="13">
        <v>43741.61</v>
      </c>
      <c r="E15" s="13"/>
      <c r="F15" s="13"/>
      <c r="G15" s="13"/>
      <c r="H15" s="14">
        <f>SUM(H6:H14)</f>
        <v>9797.300000000001</v>
      </c>
      <c r="I15" s="14">
        <f>SUM(I6:I14)</f>
        <v>14226.769999999999</v>
      </c>
      <c r="J15" s="14">
        <f>SUM(J6:J14)</f>
        <v>18340.86</v>
      </c>
    </row>
    <row r="16" spans="8:8" ht="10.7"/>
    <row r="17" spans="8:8" ht="10.7"/>
    <row r="18" spans="8:8" ht="10.7"/>
    <row r="19" spans="8:8" ht="10.7"/>
    <row r="20" spans="8:8" ht="10.7"/>
    <row r="21" spans="8:8" ht="10.7"/>
    <row r="22" spans="8:8" ht="10.7"/>
    <row r="23" spans="8:8" ht="10.7"/>
    <row r="24" spans="8:8" ht="10.7"/>
    <row r="25" spans="8:8" ht="10.7"/>
    <row r="26" spans="8:8" ht="10.7"/>
    <row r="27" spans="8:8" ht="10.7"/>
    <row r="28" spans="8:8" ht="10.7"/>
    <row r="29" spans="8:8" ht="10.7"/>
    <row r="30" spans="8:8" ht="10.7"/>
    <row r="31" spans="8:8" ht="10.7"/>
    <row r="32" spans="8:8" ht="10.7"/>
    <row r="33" spans="8:8" ht="10.7"/>
    <row r="34" spans="8:8" ht="10.7"/>
    <row r="35" spans="8:8" ht="10.7"/>
    <row r="36" spans="8:8" ht="10.7"/>
    <row r="37" spans="8:8" ht="10.7"/>
    <row r="38" spans="8:8" ht="10.7"/>
    <row r="39" spans="8:8" ht="10.7"/>
    <row r="40" spans="8:8" ht="10.7"/>
    <row r="41" spans="8:8" ht="10.7"/>
    <row r="42" spans="8:8" ht="10.7"/>
    <row r="43" spans="8:8" ht="10.7"/>
    <row r="44" spans="8:8" ht="10.7"/>
    <row r="45" spans="8:8" ht="10.7"/>
    <row r="46" spans="8:8" ht="10.7"/>
    <row r="47" spans="8:8" ht="10.7"/>
    <row r="48" spans="8:8" ht="10.7"/>
    <row r="49" spans="8:8" ht="10.7"/>
    <row r="50" spans="8:8" ht="10.7"/>
    <row r="51" spans="8:8" ht="10.7"/>
    <row r="52" spans="8:8" ht="10.7"/>
    <row r="53" spans="8:8" ht="10.7"/>
    <row r="54" spans="8:8" ht="10.7"/>
    <row r="55" spans="8:8" ht="10.7"/>
  </sheetData>
  <mergeCells count="4">
    <mergeCell ref="A1:J1"/>
    <mergeCell ref="A2:J2"/>
    <mergeCell ref="A3:J3"/>
    <mergeCell ref="A4:J4"/>
  </mergeCells>
  <printOptions horizontalCentered="1"/>
  <pageMargins left="0.0" right="0.0" top="0.0" bottom="0.2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Sekhar</dc:creator>
  <cp:lastModifiedBy>Sekhar</cp:lastModifiedBy>
  <dcterms:created xsi:type="dcterms:W3CDTF">2026-08-01T03:44:05Z</dcterms:created>
  <dcterms:modified xsi:type="dcterms:W3CDTF">2026-08-03T09:36:11Z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7485aeb0f78d489fbd9666be17ce15eb</vt:lpwstr>
  </property>
</Properties>
</file>