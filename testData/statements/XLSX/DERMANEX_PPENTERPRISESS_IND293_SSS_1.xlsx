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b5\AC\Temp\"/>
    </mc:Choice>
  </mc:AlternateContent>
  <xr:revisionPtr revIDLastSave="0" documentId="8_{C8C1DD5D-7EC5-5C48-AB03-A792ADA5C5B3}" xr6:coauthVersionLast="47" xr6:coauthVersionMax="47" xr10:uidLastSave="{00000000-0000-0000-0000-000000000000}"/>
  <bookViews>
    <workbookView xWindow="-60" yWindow="-60" windowWidth="15480" windowHeight="11640" xr2:uid="{5DB9FC3A-EEF8-42E3-82CD-3AAD15655F3A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L28" i="1"/>
  <c r="C28" i="1"/>
  <c r="M30" i="1"/>
  <c r="C30" i="1"/>
  <c r="C32" i="1"/>
  <c r="D32" i="1"/>
  <c r="E32" i="1"/>
  <c r="F32" i="1"/>
  <c r="K30" i="1"/>
  <c r="G30" i="1"/>
  <c r="G32" i="1"/>
  <c r="H32" i="1"/>
  <c r="I28" i="1"/>
  <c r="I32" i="1"/>
</calcChain>
</file>

<file path=xl/sharedStrings.xml><?xml version="1.0" encoding="utf-8"?>
<sst xmlns="http://schemas.openxmlformats.org/spreadsheetml/2006/main" count="96" uniqueCount="55">
  <si>
    <t>P P ENTERPRISESS</t>
  </si>
  <si>
    <t>SHOP NO.35A,MEDICINE COMPLEX NEAR SHASTRI BRIDGE,JABALPUR (M.P.)</t>
  </si>
  <si>
    <t>Phone : 0761-4014346 E-Mail : ppenterjbp@gmail.com</t>
  </si>
  <si>
    <t>STOCK &amp; SALES ANALYSIS  (LINUX DERMANEX)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</si>
  <si>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</si>
  <si>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</si>
  <si>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</si>
  <si>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</si>
  <si>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</si>
  <si>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</si>
  <si>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</si>
  <si>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 M.EXP</t>
  </si>
  <si>
    <t>VALUE</t>
  </si>
  <si>
    <t>QTY.</t>
  </si>
  <si>
    <t xml:space="preserve">  -  9/27</t>
  </si>
  <si>
    <t>CASIL SOAP                    75GM</t>
  </si>
  <si>
    <t xml:space="preserve">  -  3/28</t>
  </si>
  <si>
    <t>HYDRAVO</t>
  </si>
  <si>
    <t xml:space="preserve">  -  1/28</t>
  </si>
  <si>
    <t>HYTEC NU ICY GEL              50GM</t>
  </si>
  <si>
    <t xml:space="preserve">  -</t>
  </si>
  <si>
    <t>IBGLOW HD CREAM               15GM</t>
  </si>
  <si>
    <t>IBGLOW SKIN                   CREAM</t>
  </si>
  <si>
    <t xml:space="preserve">  -  5/27</t>
  </si>
  <si>
    <t>IBGLOW ULTRA</t>
  </si>
  <si>
    <t>IBILUL CREAM                  30G</t>
  </si>
  <si>
    <t xml:space="preserve">  - 11/27</t>
  </si>
  <si>
    <t>LA-MATISSE REPAIR             100GM</t>
  </si>
  <si>
    <t>LA-MATISSE SHAMPOO            240 ML</t>
  </si>
  <si>
    <t xml:space="preserve">  1  9/27</t>
  </si>
  <si>
    <t>LA-MATISSE SHAMPOO            240ML</t>
  </si>
  <si>
    <t xml:space="preserve">  - 10/27</t>
  </si>
  <si>
    <t>LUMISE C</t>
  </si>
  <si>
    <t>LUMISE CLEANSER               100G</t>
  </si>
  <si>
    <t xml:space="preserve">  - 12/27</t>
  </si>
  <si>
    <t>MANDISA FOAM FACE 100ML</t>
  </si>
  <si>
    <t xml:space="preserve"> 27 10/27</t>
  </si>
  <si>
    <t>MINOFINA SOLUTION             60ML</t>
  </si>
  <si>
    <t>MINOPEP EVA                   90ML</t>
  </si>
  <si>
    <t xml:space="preserve">  -  8/27</t>
  </si>
  <si>
    <t>MINOPEP GOLD                  60ML</t>
  </si>
  <si>
    <t xml:space="preserve"> 22 11/26</t>
  </si>
  <si>
    <t>MINOPEP &amp; HAIR SCALPCONDITION 100GM</t>
  </si>
  <si>
    <t xml:space="preserve"> 17  6/27</t>
  </si>
  <si>
    <t>MINOPEP SHAMPOO               250 ML H</t>
  </si>
  <si>
    <t xml:space="preserve"> 39  8/27</t>
  </si>
  <si>
    <t>MINOPEP TOPICAL SOLUTION 5%   90ML</t>
  </si>
  <si>
    <t>MOIMAX MOISTURIZER            100GM</t>
  </si>
  <si>
    <t xml:space="preserve"> 13  8/27</t>
  </si>
  <si>
    <t>NEW LA-MATISSE SERUM          90ML</t>
  </si>
  <si>
    <t>NEW SOFTSCREEN MINERAL(D1)</t>
  </si>
  <si>
    <t xml:space="preserve">  -  1/27</t>
  </si>
  <si>
    <t>RETIGLOW NIGHT SERUM          30ML</t>
  </si>
  <si>
    <t>SOFTSCREEN MATTE TINTED SUNSC 30GM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</si>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</sst>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b/>
      <sz val="12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4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2" fontId="3" fillId="3" borderId="1" xfId="0" applyNumberFormat="1" applyFont="1" applyFill="1" applyBorder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A3A3-A614-4EF8-9FA4-D9F331C480B0}">
  <dimension ref="A1:M32"/>
  <sheetViews>
    <sheetView tabSelected="1" topLeftCell="G1" workbookViewId="0">
      <selection activeCell="P37" sqref="P37"/>
    </sheetView>
  </sheetViews>
  <sheetFormatPr defaultRowHeight="15" x14ac:dyDescent="0.2"/>
  <cols>
    <col min="1" max="1" width="29.32421875" customWidth="1"/>
    <col min="2" max="2" width="11.97265625" customWidth="1"/>
    <col min="3" max="3" width="13.1796875" customWidth="1"/>
    <col min="4" max="4" width="12.5078125" customWidth="1"/>
    <col min="5" max="5" width="11.1640625" customWidth="1"/>
    <col min="6" max="6" width="8.875" bestFit="1" customWidth="1"/>
    <col min="7" max="7" width="11.8359375" customWidth="1"/>
    <col min="8" max="8" width="11.1640625" bestFit="1" customWidth="1"/>
    <col min="9" max="9" width="9.55078125" bestFit="1" customWidth="1"/>
    <col min="10" max="10" width="11.703125" bestFit="1" customWidth="1"/>
    <col min="11" max="13" width="0" hidden="1" customWidth="1"/>
  </cols>
  <sheetData>
    <row r="1" spans="1:10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">
      <c r="A5" s="2" t="s">
        <v>10</v>
      </c>
      <c r="B5" s="2" t="s">
        <v>9</v>
      </c>
      <c r="C5" s="2" t="s">
        <v>5</v>
      </c>
      <c r="D5" s="2" t="s">
        <v>8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5</v>
      </c>
      <c r="J5" s="2" t="s">
        <v>4</v>
      </c>
    </row>
    <row r="6" spans="1:10" x14ac:dyDescent="0.2">
      <c r="A6" s="3"/>
      <c r="B6" s="2" t="s">
        <v>13</v>
      </c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11</v>
      </c>
    </row>
    <row r="7" spans="1:10" x14ac:dyDescent="0.2">
      <c r="A7" s="4" t="s">
        <v>15</v>
      </c>
      <c r="B7" s="6">
        <v>109</v>
      </c>
      <c r="C7" s="5">
        <v>10473.32</v>
      </c>
      <c r="D7" s="6">
        <v>15</v>
      </c>
      <c r="E7" s="5">
        <v>0</v>
      </c>
      <c r="F7" s="6">
        <v>75</v>
      </c>
      <c r="G7" s="5">
        <v>7206.41</v>
      </c>
      <c r="H7" s="6">
        <v>49</v>
      </c>
      <c r="I7" s="5">
        <v>4708.1899999999996</v>
      </c>
      <c r="J7" s="4" t="s">
        <v>14</v>
      </c>
    </row>
    <row r="8" spans="1:10" x14ac:dyDescent="0.2">
      <c r="A8" s="1" t="s">
        <v>17</v>
      </c>
      <c r="B8" s="6">
        <v>59</v>
      </c>
      <c r="C8" s="5">
        <v>26762.639999999999</v>
      </c>
      <c r="D8" s="6">
        <v>60</v>
      </c>
      <c r="E8" s="5">
        <v>19220.5</v>
      </c>
      <c r="F8" s="6">
        <v>96</v>
      </c>
      <c r="G8" s="5">
        <v>43545.98</v>
      </c>
      <c r="H8" s="6">
        <v>23</v>
      </c>
      <c r="I8" s="5">
        <v>10432.89</v>
      </c>
      <c r="J8" s="4" t="s">
        <v>16</v>
      </c>
    </row>
    <row r="9" spans="1:10" x14ac:dyDescent="0.2">
      <c r="A9" s="4" t="s">
        <v>19</v>
      </c>
      <c r="B9" s="6">
        <v>75</v>
      </c>
      <c r="C9" s="5">
        <v>44225.21</v>
      </c>
      <c r="D9" s="6">
        <v>4</v>
      </c>
      <c r="E9" s="5">
        <v>0</v>
      </c>
      <c r="F9" s="6">
        <v>77</v>
      </c>
      <c r="G9" s="5">
        <v>45404.55</v>
      </c>
      <c r="H9" s="6">
        <v>2</v>
      </c>
      <c r="I9" s="5">
        <v>1179.3399999999999</v>
      </c>
      <c r="J9" s="4" t="s">
        <v>18</v>
      </c>
    </row>
    <row r="10" spans="1:10" x14ac:dyDescent="0.2">
      <c r="A10" s="4" t="s">
        <v>21</v>
      </c>
      <c r="B10" s="6">
        <v>6</v>
      </c>
      <c r="C10" s="5">
        <v>2721.62</v>
      </c>
      <c r="D10" s="1" t="s">
        <v>20</v>
      </c>
      <c r="E10" s="5">
        <v>0</v>
      </c>
      <c r="F10" s="6">
        <v>6</v>
      </c>
      <c r="G10" s="5">
        <v>2721.62</v>
      </c>
      <c r="H10" s="1" t="s">
        <v>20</v>
      </c>
      <c r="I10" s="5">
        <v>0</v>
      </c>
      <c r="J10" s="1" t="s">
        <v>20</v>
      </c>
    </row>
    <row r="11" spans="1:10" x14ac:dyDescent="0.2">
      <c r="A11" s="4" t="s">
        <v>21</v>
      </c>
      <c r="B11" s="6">
        <v>7</v>
      </c>
      <c r="C11" s="5">
        <v>3175.23</v>
      </c>
      <c r="D11" s="6">
        <v>30</v>
      </c>
      <c r="E11" s="5">
        <v>11532.3</v>
      </c>
      <c r="F11" s="6">
        <v>6</v>
      </c>
      <c r="G11" s="5">
        <v>2721.62</v>
      </c>
      <c r="H11" s="6">
        <v>31</v>
      </c>
      <c r="I11" s="5">
        <v>14061.72</v>
      </c>
      <c r="J11" s="4" t="s">
        <v>18</v>
      </c>
    </row>
    <row r="12" spans="1:10" x14ac:dyDescent="0.2">
      <c r="A12" s="4" t="s">
        <v>22</v>
      </c>
      <c r="B12" s="6">
        <v>6</v>
      </c>
      <c r="C12" s="5">
        <v>2643.88</v>
      </c>
      <c r="D12" s="6">
        <v>52</v>
      </c>
      <c r="E12" s="5">
        <v>18671.5</v>
      </c>
      <c r="F12" s="6">
        <v>14</v>
      </c>
      <c r="G12" s="5">
        <v>6169.06</v>
      </c>
      <c r="H12" s="6">
        <v>44</v>
      </c>
      <c r="I12" s="5">
        <v>19388.47</v>
      </c>
      <c r="J12" s="4" t="s">
        <v>18</v>
      </c>
    </row>
    <row r="13" spans="1:10" x14ac:dyDescent="0.2">
      <c r="A13" s="1" t="s">
        <v>24</v>
      </c>
      <c r="B13" s="6">
        <v>55</v>
      </c>
      <c r="C13" s="5">
        <v>18374.310000000001</v>
      </c>
      <c r="D13" s="6">
        <v>164</v>
      </c>
      <c r="E13" s="5">
        <v>47725.5</v>
      </c>
      <c r="F13" s="6">
        <v>60</v>
      </c>
      <c r="G13" s="5">
        <v>20044.7</v>
      </c>
      <c r="H13" s="6">
        <v>159</v>
      </c>
      <c r="I13" s="5">
        <v>53118.47</v>
      </c>
      <c r="J13" s="4" t="s">
        <v>23</v>
      </c>
    </row>
    <row r="14" spans="1:10" x14ac:dyDescent="0.2">
      <c r="A14" s="4" t="s">
        <v>25</v>
      </c>
      <c r="B14" s="6">
        <v>85</v>
      </c>
      <c r="C14" s="5">
        <v>20422.189999999999</v>
      </c>
      <c r="D14" s="6">
        <v>115</v>
      </c>
      <c r="E14" s="5">
        <v>26314.3</v>
      </c>
      <c r="F14" s="6">
        <v>200</v>
      </c>
      <c r="G14" s="5">
        <v>48052.2</v>
      </c>
      <c r="H14" s="1" t="s">
        <v>20</v>
      </c>
      <c r="I14" s="5">
        <v>0</v>
      </c>
      <c r="J14" s="1" t="s">
        <v>20</v>
      </c>
    </row>
    <row r="15" spans="1:10" x14ac:dyDescent="0.2">
      <c r="A15" s="4" t="s">
        <v>27</v>
      </c>
      <c r="B15" s="6">
        <v>15</v>
      </c>
      <c r="C15" s="5">
        <v>6750.08</v>
      </c>
      <c r="D15" s="6">
        <v>15</v>
      </c>
      <c r="E15" s="5">
        <v>5720.4</v>
      </c>
      <c r="F15" s="6">
        <v>13</v>
      </c>
      <c r="G15" s="5">
        <v>5400.06</v>
      </c>
      <c r="H15" s="6">
        <v>17</v>
      </c>
      <c r="I15" s="5">
        <v>7650.09</v>
      </c>
      <c r="J15" s="1" t="s">
        <v>26</v>
      </c>
    </row>
    <row r="16" spans="1:10" x14ac:dyDescent="0.2">
      <c r="A16" s="4" t="s">
        <v>28</v>
      </c>
      <c r="B16" s="1" t="s">
        <v>20</v>
      </c>
      <c r="C16" s="5">
        <v>0</v>
      </c>
      <c r="D16" s="1" t="s">
        <v>20</v>
      </c>
      <c r="E16" s="5">
        <v>0</v>
      </c>
      <c r="F16" s="1" t="s">
        <v>20</v>
      </c>
      <c r="G16" s="5">
        <v>0</v>
      </c>
      <c r="H16" s="1" t="s">
        <v>20</v>
      </c>
      <c r="I16" s="5">
        <v>0</v>
      </c>
      <c r="J16" s="1" t="s">
        <v>20</v>
      </c>
    </row>
    <row r="17" spans="1:13" x14ac:dyDescent="0.2">
      <c r="A17" s="4" t="s">
        <v>30</v>
      </c>
      <c r="B17" s="6">
        <v>17</v>
      </c>
      <c r="C17" s="5">
        <v>7514.67</v>
      </c>
      <c r="D17" s="6">
        <v>15</v>
      </c>
      <c r="E17" s="5">
        <v>6314.85</v>
      </c>
      <c r="F17" s="6">
        <v>30</v>
      </c>
      <c r="G17" s="5">
        <v>13261.18</v>
      </c>
      <c r="H17" s="6">
        <v>2</v>
      </c>
      <c r="I17" s="5">
        <v>884.08</v>
      </c>
      <c r="J17" s="4" t="s">
        <v>29</v>
      </c>
    </row>
    <row r="18" spans="1:13" x14ac:dyDescent="0.2">
      <c r="A18" s="1" t="s">
        <v>32</v>
      </c>
      <c r="B18" s="6">
        <v>16</v>
      </c>
      <c r="C18" s="5">
        <v>14169.63</v>
      </c>
      <c r="D18" s="6">
        <v>11</v>
      </c>
      <c r="E18" s="5">
        <v>7505.1</v>
      </c>
      <c r="F18" s="6">
        <v>9</v>
      </c>
      <c r="G18" s="5">
        <v>7970.42</v>
      </c>
      <c r="H18" s="6">
        <v>18</v>
      </c>
      <c r="I18" s="5">
        <v>15940.84</v>
      </c>
      <c r="J18" s="1" t="s">
        <v>31</v>
      </c>
    </row>
    <row r="19" spans="1:13" x14ac:dyDescent="0.2">
      <c r="A19" s="4" t="s">
        <v>33</v>
      </c>
      <c r="B19" s="6">
        <v>36</v>
      </c>
      <c r="C19" s="5">
        <v>13530.31</v>
      </c>
      <c r="D19" s="1" t="s">
        <v>20</v>
      </c>
      <c r="E19" s="5">
        <v>0</v>
      </c>
      <c r="F19" s="6">
        <v>36</v>
      </c>
      <c r="G19" s="5">
        <v>13530.31</v>
      </c>
      <c r="H19" s="1" t="s">
        <v>20</v>
      </c>
      <c r="I19" s="5">
        <v>0</v>
      </c>
      <c r="J19" s="1" t="s">
        <v>20</v>
      </c>
    </row>
    <row r="20" spans="1:13" x14ac:dyDescent="0.2">
      <c r="A20" s="1" t="s">
        <v>35</v>
      </c>
      <c r="B20" s="6">
        <v>113</v>
      </c>
      <c r="C20" s="5">
        <v>51257.23</v>
      </c>
      <c r="D20" s="6">
        <v>107</v>
      </c>
      <c r="E20" s="5">
        <v>38441</v>
      </c>
      <c r="F20" s="6">
        <v>99</v>
      </c>
      <c r="G20" s="5">
        <v>44906.78</v>
      </c>
      <c r="H20" s="6">
        <v>121</v>
      </c>
      <c r="I20" s="5">
        <v>54886.06</v>
      </c>
      <c r="J20" s="1" t="s">
        <v>34</v>
      </c>
    </row>
    <row r="21" spans="1:13" x14ac:dyDescent="0.2">
      <c r="A21" s="4" t="s">
        <v>37</v>
      </c>
      <c r="B21" s="6">
        <v>27</v>
      </c>
      <c r="C21" s="5">
        <v>17313.080000000002</v>
      </c>
      <c r="D21" s="1" t="s">
        <v>20</v>
      </c>
      <c r="E21" s="5">
        <v>0</v>
      </c>
      <c r="F21" s="1" t="s">
        <v>20</v>
      </c>
      <c r="G21" s="5">
        <v>0</v>
      </c>
      <c r="H21" s="6">
        <v>27</v>
      </c>
      <c r="I21" s="5">
        <v>17313.080000000002</v>
      </c>
      <c r="J21" s="1" t="s">
        <v>36</v>
      </c>
    </row>
    <row r="22" spans="1:13" x14ac:dyDescent="0.2">
      <c r="A22" s="4" t="s">
        <v>38</v>
      </c>
      <c r="B22" s="6">
        <v>31</v>
      </c>
      <c r="C22" s="5">
        <v>20715.150000000001</v>
      </c>
      <c r="D22" s="6">
        <v>32</v>
      </c>
      <c r="E22" s="5">
        <v>19092.3</v>
      </c>
      <c r="F22" s="6">
        <v>30</v>
      </c>
      <c r="G22" s="5">
        <v>20046.919999999998</v>
      </c>
      <c r="H22" s="6">
        <v>33</v>
      </c>
      <c r="I22" s="5">
        <v>22051.61</v>
      </c>
      <c r="J22" s="1" t="s">
        <v>26</v>
      </c>
    </row>
    <row r="23" spans="1:13" x14ac:dyDescent="0.2">
      <c r="A23" s="4" t="s">
        <v>40</v>
      </c>
      <c r="B23" s="6">
        <v>1</v>
      </c>
      <c r="C23" s="5">
        <v>796.47</v>
      </c>
      <c r="D23" s="6">
        <v>50</v>
      </c>
      <c r="E23" s="5">
        <v>37927</v>
      </c>
      <c r="F23" s="6">
        <v>6</v>
      </c>
      <c r="G23" s="5">
        <v>4778.8</v>
      </c>
      <c r="H23" s="6">
        <v>45</v>
      </c>
      <c r="I23" s="5">
        <v>35841.019999999997</v>
      </c>
      <c r="J23" s="4" t="s">
        <v>39</v>
      </c>
    </row>
    <row r="24" spans="1:13" x14ac:dyDescent="0.2">
      <c r="A24" s="1" t="s">
        <v>42</v>
      </c>
      <c r="B24" s="6">
        <v>22</v>
      </c>
      <c r="C24" s="5">
        <v>8711.91</v>
      </c>
      <c r="D24" s="6">
        <v>2</v>
      </c>
      <c r="E24" s="5">
        <v>0</v>
      </c>
      <c r="F24" s="1" t="s">
        <v>20</v>
      </c>
      <c r="G24" s="5">
        <v>0</v>
      </c>
      <c r="H24" s="6">
        <v>24</v>
      </c>
      <c r="I24" s="5">
        <v>9503.9</v>
      </c>
      <c r="J24" s="1" t="s">
        <v>41</v>
      </c>
    </row>
    <row r="25" spans="1:13" x14ac:dyDescent="0.2">
      <c r="A25" s="4" t="s">
        <v>44</v>
      </c>
      <c r="B25" s="6">
        <v>22</v>
      </c>
      <c r="C25" s="5">
        <v>9724.8700000000008</v>
      </c>
      <c r="D25" s="6">
        <v>2</v>
      </c>
      <c r="E25" s="5">
        <v>0</v>
      </c>
      <c r="F25" s="1" t="s">
        <v>20</v>
      </c>
      <c r="G25" s="5">
        <v>0</v>
      </c>
      <c r="H25" s="6">
        <v>24</v>
      </c>
      <c r="I25" s="5">
        <v>10608.95</v>
      </c>
      <c r="J25" s="4" t="s">
        <v>43</v>
      </c>
    </row>
    <row r="26" spans="1:13" x14ac:dyDescent="0.2">
      <c r="A26" s="4" t="s">
        <v>46</v>
      </c>
      <c r="B26" s="6">
        <v>39</v>
      </c>
      <c r="C26" s="5">
        <v>28927.91</v>
      </c>
      <c r="D26" s="1" t="s">
        <v>20</v>
      </c>
      <c r="E26" s="5">
        <v>0</v>
      </c>
      <c r="F26" s="1" t="s">
        <v>20</v>
      </c>
      <c r="G26" s="5">
        <v>0</v>
      </c>
      <c r="H26" s="6">
        <v>39</v>
      </c>
      <c r="I26" s="5">
        <v>28927.91</v>
      </c>
      <c r="J26" s="4" t="s">
        <v>45</v>
      </c>
    </row>
    <row r="27" spans="1:13" x14ac:dyDescent="0.2">
      <c r="A27" s="4" t="s">
        <v>47</v>
      </c>
      <c r="B27" s="6">
        <v>23</v>
      </c>
      <c r="C27" s="5">
        <v>8197.09</v>
      </c>
      <c r="D27" s="1" t="s">
        <v>20</v>
      </c>
      <c r="E27" s="5">
        <v>0</v>
      </c>
      <c r="F27" s="1" t="s">
        <v>20</v>
      </c>
      <c r="G27" s="5">
        <v>0</v>
      </c>
      <c r="H27" s="6">
        <v>23</v>
      </c>
      <c r="I27" s="5">
        <v>8197.09</v>
      </c>
      <c r="J27" s="1" t="s">
        <v>26</v>
      </c>
    </row>
    <row r="28" spans="1:13" x14ac:dyDescent="0.2">
      <c r="A28" s="4" t="s">
        <v>49</v>
      </c>
      <c r="B28" s="6">
        <v>11</v>
      </c>
      <c r="C28" s="5">
        <f>L28*B28</f>
        <v>11544.39</v>
      </c>
      <c r="D28" s="6">
        <v>30</v>
      </c>
      <c r="E28" s="5">
        <v>31484.7</v>
      </c>
      <c r="F28" s="6">
        <v>3</v>
      </c>
      <c r="G28" s="5">
        <v>3715.19</v>
      </c>
      <c r="H28" s="6">
        <v>38</v>
      </c>
      <c r="I28" s="5">
        <f>L28*H28</f>
        <v>39880.620000000003</v>
      </c>
      <c r="J28" s="4" t="s">
        <v>48</v>
      </c>
      <c r="L28">
        <f>E28/D28</f>
        <v>1049.49</v>
      </c>
    </row>
    <row r="29" spans="1:13" x14ac:dyDescent="0.2">
      <c r="A29" s="1" t="s">
        <v>50</v>
      </c>
      <c r="B29" s="1" t="s">
        <v>20</v>
      </c>
      <c r="C29" s="5">
        <v>0</v>
      </c>
      <c r="D29" s="1" t="s">
        <v>20</v>
      </c>
      <c r="E29" s="5">
        <v>0</v>
      </c>
      <c r="F29" s="1" t="s">
        <v>20</v>
      </c>
      <c r="G29" s="5">
        <v>0</v>
      </c>
      <c r="H29" s="1" t="s">
        <v>20</v>
      </c>
      <c r="I29" s="5">
        <v>0</v>
      </c>
      <c r="J29" s="1" t="s">
        <v>20</v>
      </c>
    </row>
    <row r="30" spans="1:13" x14ac:dyDescent="0.2">
      <c r="A30" s="4" t="s">
        <v>52</v>
      </c>
      <c r="B30" s="6">
        <v>13</v>
      </c>
      <c r="C30" s="5">
        <f>M30*B30</f>
        <v>9817.7633628318581</v>
      </c>
      <c r="D30" s="6">
        <v>113</v>
      </c>
      <c r="E30" s="5">
        <v>85339.02</v>
      </c>
      <c r="F30" s="6">
        <v>91</v>
      </c>
      <c r="G30" s="5">
        <f>K30*F30</f>
        <v>68724.343539823007</v>
      </c>
      <c r="H30" s="6">
        <v>35</v>
      </c>
      <c r="I30" s="5">
        <v>35381.1</v>
      </c>
      <c r="J30" s="4" t="s">
        <v>51</v>
      </c>
      <c r="K30">
        <f>C30/B30</f>
        <v>755.21256637168142</v>
      </c>
      <c r="M30">
        <f>E30/D30</f>
        <v>755.21256637168142</v>
      </c>
    </row>
    <row r="31" spans="1:13" x14ac:dyDescent="0.2">
      <c r="A31" s="1" t="s">
        <v>53</v>
      </c>
      <c r="B31" s="6">
        <v>10</v>
      </c>
      <c r="C31" s="5">
        <v>3887.98</v>
      </c>
      <c r="D31" s="1" t="s">
        <v>20</v>
      </c>
      <c r="E31" s="5">
        <v>0</v>
      </c>
      <c r="F31" s="6">
        <v>9</v>
      </c>
      <c r="G31" s="5">
        <v>3499.18</v>
      </c>
      <c r="H31" s="6">
        <v>1</v>
      </c>
      <c r="I31" s="5">
        <v>388.8</v>
      </c>
      <c r="J31" s="4" t="s">
        <v>14</v>
      </c>
    </row>
    <row r="32" spans="1:13" x14ac:dyDescent="0.2">
      <c r="A32" s="7" t="s">
        <v>54</v>
      </c>
      <c r="B32" s="8">
        <f t="shared" ref="B32:I32" si="0">SUM(B7:B31)</f>
        <v>798</v>
      </c>
      <c r="C32" s="9">
        <f t="shared" si="0"/>
        <v>341656.93336283183</v>
      </c>
      <c r="D32" s="8">
        <f t="shared" si="0"/>
        <v>817</v>
      </c>
      <c r="E32" s="9">
        <f t="shared" si="0"/>
        <v>355288.47000000003</v>
      </c>
      <c r="F32" s="8">
        <f t="shared" si="0"/>
        <v>860</v>
      </c>
      <c r="G32" s="9">
        <f t="shared" si="0"/>
        <v>361699.323539823</v>
      </c>
      <c r="H32" s="8">
        <f t="shared" si="0"/>
        <v>755</v>
      </c>
      <c r="I32" s="9">
        <f t="shared" si="0"/>
        <v>390344.22999999992</v>
      </c>
      <c r="J32" s="8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17D0-426A-40DE-90A6-D241070D6B3D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D671-2BEA-4503-9DC3-3DF6C3B2900D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Lapcare</dc:creator>
  <cp:lastModifiedBy>X</cp:lastModifiedBy>
  <dcterms:created xsi:type="dcterms:W3CDTF">2026-08-01T08:57:51Z</dcterms:created>
  <dcterms:modified xsi:type="dcterms:W3CDTF">2026-08-01T10:20:39Z</dcterms:modified>
</cp:coreProperties>
</file>