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26DF21B1-DB71-294A-90E8-EF981BB62A06}" xr6:coauthVersionLast="47" xr6:coauthVersionMax="47" xr10:uidLastSave="{00000000-0000-0000-0000-000000000000}"/>
  <bookViews>
    <workbookView xWindow="120" yWindow="120" windowWidth="28695" windowHeight="150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E44" i="1"/>
  <c r="F44" i="1"/>
  <c r="G44" i="1"/>
  <c r="H44" i="1"/>
  <c r="I44" i="1"/>
  <c r="J44" i="1"/>
  <c r="K44" i="1"/>
  <c r="L44" i="1"/>
  <c r="C44" i="1"/>
</calcChain>
</file>

<file path=xl/sharedStrings.xml><?xml version="1.0" encoding="utf-8"?>
<sst xmlns="http://schemas.openxmlformats.org/spreadsheetml/2006/main" count="131" uniqueCount="67">
  <si>
    <t>KNK AGENCIES</t>
  </si>
  <si>
    <t xml:space="preserve">STOCK AND SALES STATEMENT    </t>
  </si>
  <si>
    <t>From Month : JUL 2026   Upto Month : JUL 2026</t>
  </si>
  <si>
    <t>MFGR : LINUX-INTEGRA</t>
  </si>
  <si>
    <t>SALE : 187345.75 STOCK : 157925.78 EXSTK : 60857.02 STK120 : 6795.20 LZSTK : 59034.86</t>
  </si>
  <si>
    <t>Product Name</t>
  </si>
  <si>
    <t>Packing</t>
  </si>
  <si>
    <t>OPSTK</t>
  </si>
  <si>
    <t>OPV</t>
  </si>
  <si>
    <t>PURC</t>
  </si>
  <si>
    <t>PURCV</t>
  </si>
  <si>
    <t>Jun</t>
  </si>
  <si>
    <t>May</t>
  </si>
  <si>
    <t>SALE</t>
  </si>
  <si>
    <t>SALEV</t>
  </si>
  <si>
    <t>STOCK</t>
  </si>
  <si>
    <t>STOCKV</t>
  </si>
  <si>
    <t>Manufacturer / Division</t>
  </si>
  <si>
    <t>CARBANERVE 150MG TAB</t>
  </si>
  <si>
    <t>10S</t>
  </si>
  <si>
    <t>LINUX-INTEGRA</t>
  </si>
  <si>
    <t>CARBANERVE 300MG TAB</t>
  </si>
  <si>
    <t>15 S</t>
  </si>
  <si>
    <t>CARBANERVE 450MG TAB</t>
  </si>
  <si>
    <t>CARBANERVE 600MG TAB</t>
  </si>
  <si>
    <t>CITIZAC INJ 4ML</t>
  </si>
  <si>
    <t>NA</t>
  </si>
  <si>
    <t>CITIZAC TAB</t>
  </si>
  <si>
    <t>DUBIZ TAB</t>
  </si>
  <si>
    <t>ECITANE TAB</t>
  </si>
  <si>
    <t>IDEBEST 45MG TAB</t>
  </si>
  <si>
    <t>LACOVE 100MG TAB</t>
  </si>
  <si>
    <t>LACOVE 150 MG</t>
  </si>
  <si>
    <t>10 S</t>
  </si>
  <si>
    <t>LACOVE 200 MG TAB</t>
  </si>
  <si>
    <t>LACOVE 50MG TAB</t>
  </si>
  <si>
    <t>LACOVE INJ 20ML</t>
  </si>
  <si>
    <t>20 ML</t>
  </si>
  <si>
    <t>LACOVE SYRUP</t>
  </si>
  <si>
    <t>1</t>
  </si>
  <si>
    <t>LINOTRIL 0.5MG</t>
  </si>
  <si>
    <t>LURASTAR 40MG TAB</t>
  </si>
  <si>
    <t>LURASTAR 80MG TAB</t>
  </si>
  <si>
    <t>QUTIWEL 25MG TAB</t>
  </si>
  <si>
    <t>QUTIWEL SR 300MG TAB</t>
  </si>
  <si>
    <t>QUTIWEL SR 400MG TAB</t>
  </si>
  <si>
    <t>REXITE INJ</t>
  </si>
  <si>
    <t>1S</t>
  </si>
  <si>
    <t>REXITE SYRUP</t>
  </si>
  <si>
    <t>REXITE TAB 10S</t>
  </si>
  <si>
    <t>RIBOTAB M</t>
  </si>
  <si>
    <t>1X10 S</t>
  </si>
  <si>
    <t>SERMIND 100MG TAB</t>
  </si>
  <si>
    <t>SERMIND 50MG TAB</t>
  </si>
  <si>
    <t>TADASURE 10MG</t>
  </si>
  <si>
    <t>TADASURE 20MG</t>
  </si>
  <si>
    <t>TADASURE 5MG TAB</t>
  </si>
  <si>
    <t>TOPITAB 100MG TAB</t>
  </si>
  <si>
    <t>TOPITAB 25MG TAB</t>
  </si>
  <si>
    <t>TOPITAB 50MG TAB</t>
  </si>
  <si>
    <t>TRIPTAZ 10 MG TAB</t>
  </si>
  <si>
    <t>TRIPTAZ 25 MG TAB</t>
  </si>
  <si>
    <t>VERTIREST 16MG TAB 15S</t>
  </si>
  <si>
    <t>15S</t>
  </si>
  <si>
    <t>VERTIREST OD 48MG TAB</t>
  </si>
  <si>
    <t>PURC : 162101 SALE : 187346 STOCK : 157926 STK120 : 6795 LZSTK : 59035#</t>
  </si>
  <si>
    <t>DSTK : Days Stock on 3 Month Sale : -2 No Sale No Stock, -1 No Sale, 0 No Stock, Rest Days Stock#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</si>
</sst>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2" borderId="2" xfId="0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1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F1" workbookViewId="0">
      <selection activeCell="P4" sqref="P4"/>
    </sheetView>
  </sheetViews>
  <sheetFormatPr defaultRowHeight="15" customHeight="1" x14ac:dyDescent="0.2"/>
  <cols>
    <col min="1" max="1" width="24.48046875" bestFit="1" customWidth="1"/>
    <col min="2" max="2" width="8.7421875" customWidth="1"/>
    <col min="3" max="3" width="7.80078125" customWidth="1"/>
    <col min="4" max="4" width="9.55078125" customWidth="1"/>
    <col min="5" max="5" width="6.58984375" customWidth="1"/>
    <col min="6" max="6" width="9.55078125" customWidth="1"/>
    <col min="7" max="7" width="4.9765625" bestFit="1" customWidth="1"/>
    <col min="8" max="8" width="5.109375" customWidth="1"/>
    <col min="9" max="9" width="6.1875" customWidth="1"/>
    <col min="10" max="10" width="9.55078125" customWidth="1"/>
    <col min="11" max="11" width="7.80078125" customWidth="1"/>
    <col min="12" max="12" width="9.55078125" customWidth="1"/>
    <col min="13" max="13" width="24.078125" bestFit="1" customWidth="1"/>
  </cols>
  <sheetData>
    <row r="1" spans="1:13" ht="15" customHeight="1" x14ac:dyDescent="0.2">
      <c r="A1" s="1" t="s">
        <v>0</v>
      </c>
    </row>
    <row r="2" spans="1:13" ht="15" customHeight="1" x14ac:dyDescent="0.25">
      <c r="A2" s="3" t="s">
        <v>1</v>
      </c>
    </row>
    <row r="3" spans="1:13" ht="15" customHeight="1" x14ac:dyDescent="0.25">
      <c r="A3" s="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 spans="1:13" ht="15" customHeight="1" x14ac:dyDescent="0.2">
      <c r="A7" s="4" t="s">
        <v>18</v>
      </c>
      <c r="B7" s="4" t="s">
        <v>19</v>
      </c>
      <c r="C7" s="5">
        <v>30</v>
      </c>
      <c r="D7" s="6">
        <v>1495.5</v>
      </c>
      <c r="E7" s="5">
        <v>0</v>
      </c>
      <c r="F7" s="6">
        <v>0</v>
      </c>
      <c r="G7" s="5">
        <v>0</v>
      </c>
      <c r="H7" s="5">
        <v>0</v>
      </c>
      <c r="I7" s="5">
        <v>0</v>
      </c>
      <c r="J7" s="6">
        <v>0</v>
      </c>
      <c r="K7" s="5">
        <v>30</v>
      </c>
      <c r="L7" s="6">
        <v>1495.5</v>
      </c>
      <c r="M7" s="4" t="s">
        <v>20</v>
      </c>
    </row>
    <row r="8" spans="1:13" ht="15" customHeight="1" x14ac:dyDescent="0.2">
      <c r="A8" s="4" t="s">
        <v>21</v>
      </c>
      <c r="B8" s="4" t="s">
        <v>22</v>
      </c>
      <c r="C8" s="5">
        <v>50</v>
      </c>
      <c r="D8" s="6">
        <v>6909.5</v>
      </c>
      <c r="E8" s="5">
        <v>30</v>
      </c>
      <c r="F8" s="6">
        <v>4145.7</v>
      </c>
      <c r="G8" s="5">
        <v>39</v>
      </c>
      <c r="H8" s="5">
        <v>0</v>
      </c>
      <c r="I8" s="5">
        <v>39</v>
      </c>
      <c r="J8" s="6">
        <v>3070.8</v>
      </c>
      <c r="K8" s="5">
        <v>41</v>
      </c>
      <c r="L8" s="6">
        <v>5665.79</v>
      </c>
      <c r="M8" s="4" t="s">
        <v>20</v>
      </c>
    </row>
    <row r="9" spans="1:13" ht="15" customHeight="1" x14ac:dyDescent="0.2">
      <c r="A9" s="4" t="s">
        <v>23</v>
      </c>
      <c r="B9" s="4" t="s">
        <v>19</v>
      </c>
      <c r="C9" s="5">
        <v>56</v>
      </c>
      <c r="D9" s="6">
        <v>7480.48</v>
      </c>
      <c r="E9" s="5">
        <v>40</v>
      </c>
      <c r="F9" s="6">
        <v>4007.4</v>
      </c>
      <c r="G9" s="5">
        <v>26</v>
      </c>
      <c r="H9" s="5">
        <v>39</v>
      </c>
      <c r="I9" s="5">
        <v>39</v>
      </c>
      <c r="J9" s="6">
        <v>4452.6000000000004</v>
      </c>
      <c r="K9" s="5">
        <v>57</v>
      </c>
      <c r="L9" s="6">
        <v>7614.06</v>
      </c>
      <c r="M9" s="4" t="s">
        <v>20</v>
      </c>
    </row>
    <row r="10" spans="1:13" ht="15" customHeight="1" x14ac:dyDescent="0.2">
      <c r="A10" s="4" t="s">
        <v>24</v>
      </c>
      <c r="B10" s="4" t="s">
        <v>19</v>
      </c>
      <c r="C10" s="5">
        <v>0</v>
      </c>
      <c r="D10" s="6">
        <v>0</v>
      </c>
      <c r="E10" s="5">
        <v>0</v>
      </c>
      <c r="F10" s="6">
        <v>0</v>
      </c>
      <c r="G10" s="5">
        <v>0</v>
      </c>
      <c r="H10" s="5">
        <v>0</v>
      </c>
      <c r="I10" s="5">
        <v>0</v>
      </c>
      <c r="J10" s="6">
        <v>0</v>
      </c>
      <c r="K10" s="5">
        <v>0</v>
      </c>
      <c r="L10" s="6">
        <v>0</v>
      </c>
      <c r="M10" s="4" t="s">
        <v>20</v>
      </c>
    </row>
    <row r="11" spans="1:13" ht="15" customHeight="1" x14ac:dyDescent="0.2">
      <c r="A11" s="4" t="s">
        <v>25</v>
      </c>
      <c r="B11" s="4" t="s">
        <v>26</v>
      </c>
      <c r="C11" s="5">
        <v>0</v>
      </c>
      <c r="D11" s="6">
        <v>0</v>
      </c>
      <c r="E11" s="5">
        <v>0</v>
      </c>
      <c r="F11" s="6">
        <v>0</v>
      </c>
      <c r="G11" s="5">
        <v>0</v>
      </c>
      <c r="H11" s="5">
        <v>0</v>
      </c>
      <c r="I11" s="5">
        <v>0</v>
      </c>
      <c r="J11" s="6">
        <v>0</v>
      </c>
      <c r="K11" s="5">
        <v>0</v>
      </c>
      <c r="L11" s="6">
        <v>0</v>
      </c>
      <c r="M11" s="4" t="s">
        <v>20</v>
      </c>
    </row>
    <row r="12" spans="1:13" ht="15" customHeight="1" x14ac:dyDescent="0.2">
      <c r="A12" s="4" t="s">
        <v>27</v>
      </c>
      <c r="B12" s="4" t="s">
        <v>19</v>
      </c>
      <c r="C12" s="5">
        <v>0</v>
      </c>
      <c r="D12" s="6">
        <v>0</v>
      </c>
      <c r="E12" s="5">
        <v>0</v>
      </c>
      <c r="F12" s="6">
        <v>0</v>
      </c>
      <c r="G12" s="5">
        <v>0</v>
      </c>
      <c r="H12" s="5">
        <v>0</v>
      </c>
      <c r="I12" s="5">
        <v>0</v>
      </c>
      <c r="J12" s="6">
        <v>0</v>
      </c>
      <c r="K12" s="5">
        <v>0</v>
      </c>
      <c r="L12" s="6">
        <v>0</v>
      </c>
      <c r="M12" s="4" t="s">
        <v>20</v>
      </c>
    </row>
    <row r="13" spans="1:13" ht="15" customHeight="1" x14ac:dyDescent="0.2">
      <c r="A13" s="4" t="s">
        <v>28</v>
      </c>
      <c r="B13" s="4" t="s">
        <v>19</v>
      </c>
      <c r="C13" s="5">
        <v>0</v>
      </c>
      <c r="D13" s="6">
        <v>0</v>
      </c>
      <c r="E13" s="5">
        <v>0</v>
      </c>
      <c r="F13" s="6">
        <v>0</v>
      </c>
      <c r="G13" s="5">
        <v>0</v>
      </c>
      <c r="H13" s="5">
        <v>0</v>
      </c>
      <c r="I13" s="5">
        <v>0</v>
      </c>
      <c r="J13" s="6">
        <v>0</v>
      </c>
      <c r="K13" s="5">
        <v>0</v>
      </c>
      <c r="L13" s="6">
        <v>0</v>
      </c>
      <c r="M13" s="4" t="s">
        <v>20</v>
      </c>
    </row>
    <row r="14" spans="1:13" ht="15" customHeight="1" x14ac:dyDescent="0.2">
      <c r="A14" s="4" t="s">
        <v>29</v>
      </c>
      <c r="B14" s="4" t="s">
        <v>19</v>
      </c>
      <c r="C14" s="5">
        <v>239</v>
      </c>
      <c r="D14" s="6">
        <v>2476.04</v>
      </c>
      <c r="E14" s="5">
        <v>150</v>
      </c>
      <c r="F14" s="6">
        <v>1036</v>
      </c>
      <c r="G14" s="5">
        <v>385</v>
      </c>
      <c r="H14" s="5">
        <v>12</v>
      </c>
      <c r="I14" s="5">
        <v>48</v>
      </c>
      <c r="J14" s="6">
        <v>457.6</v>
      </c>
      <c r="K14" s="5">
        <v>341</v>
      </c>
      <c r="L14" s="6">
        <v>3532.76</v>
      </c>
      <c r="M14" s="4" t="s">
        <v>20</v>
      </c>
    </row>
    <row r="15" spans="1:13" ht="15" customHeight="1" x14ac:dyDescent="0.2">
      <c r="A15" s="4" t="s">
        <v>30</v>
      </c>
      <c r="B15" s="4" t="s">
        <v>19</v>
      </c>
      <c r="C15" s="5">
        <v>20</v>
      </c>
      <c r="D15" s="6">
        <v>3141.2</v>
      </c>
      <c r="E15" s="5">
        <v>40</v>
      </c>
      <c r="F15" s="6">
        <v>6282.4</v>
      </c>
      <c r="G15" s="5">
        <v>0</v>
      </c>
      <c r="H15" s="5">
        <v>0</v>
      </c>
      <c r="I15" s="5">
        <v>13</v>
      </c>
      <c r="J15" s="6">
        <v>1745.1</v>
      </c>
      <c r="K15" s="5">
        <v>47</v>
      </c>
      <c r="L15" s="6">
        <v>7381.82</v>
      </c>
      <c r="M15" s="4" t="s">
        <v>20</v>
      </c>
    </row>
    <row r="16" spans="1:13" ht="15" customHeight="1" x14ac:dyDescent="0.2">
      <c r="A16" s="4" t="s">
        <v>31</v>
      </c>
      <c r="B16" s="4" t="s">
        <v>19</v>
      </c>
      <c r="C16" s="5">
        <v>46</v>
      </c>
      <c r="D16" s="6">
        <v>4952.3599999999997</v>
      </c>
      <c r="E16" s="5">
        <v>30</v>
      </c>
      <c r="F16" s="6">
        <v>0</v>
      </c>
      <c r="G16" s="5">
        <v>130</v>
      </c>
      <c r="H16" s="5">
        <v>130</v>
      </c>
      <c r="I16" s="5">
        <v>0</v>
      </c>
      <c r="J16" s="6">
        <v>0</v>
      </c>
      <c r="K16" s="5">
        <v>76</v>
      </c>
      <c r="L16" s="6">
        <v>8182.16</v>
      </c>
      <c r="M16" s="4" t="s">
        <v>20</v>
      </c>
    </row>
    <row r="17" spans="1:13" ht="15" customHeight="1" x14ac:dyDescent="0.2">
      <c r="A17" s="4" t="s">
        <v>32</v>
      </c>
      <c r="B17" s="4" t="s">
        <v>33</v>
      </c>
      <c r="C17" s="5">
        <v>20</v>
      </c>
      <c r="D17" s="6">
        <v>2989.8</v>
      </c>
      <c r="E17" s="5">
        <v>240</v>
      </c>
      <c r="F17" s="6">
        <v>35877.599999999999</v>
      </c>
      <c r="G17" s="5">
        <v>0</v>
      </c>
      <c r="H17" s="5">
        <v>0</v>
      </c>
      <c r="I17" s="5">
        <v>260</v>
      </c>
      <c r="J17" s="6">
        <v>33220</v>
      </c>
      <c r="K17" s="5">
        <v>0</v>
      </c>
      <c r="L17" s="6">
        <v>0</v>
      </c>
      <c r="M17" s="4" t="s">
        <v>20</v>
      </c>
    </row>
    <row r="18" spans="1:13" ht="15" customHeight="1" x14ac:dyDescent="0.2">
      <c r="A18" s="4" t="s">
        <v>34</v>
      </c>
      <c r="B18" s="4" t="s">
        <v>33</v>
      </c>
      <c r="C18" s="5">
        <v>56</v>
      </c>
      <c r="D18" s="6">
        <v>10500.56</v>
      </c>
      <c r="E18" s="5">
        <v>213</v>
      </c>
      <c r="F18" s="6">
        <v>31876.7</v>
      </c>
      <c r="G18" s="5">
        <v>260</v>
      </c>
      <c r="H18" s="5">
        <v>130</v>
      </c>
      <c r="I18" s="5">
        <v>260</v>
      </c>
      <c r="J18" s="6">
        <v>41668</v>
      </c>
      <c r="K18" s="5">
        <v>9</v>
      </c>
      <c r="L18" s="6">
        <v>1687.59</v>
      </c>
      <c r="M18" s="4" t="s">
        <v>20</v>
      </c>
    </row>
    <row r="19" spans="1:13" ht="15" customHeight="1" x14ac:dyDescent="0.2">
      <c r="A19" s="4" t="s">
        <v>35</v>
      </c>
      <c r="B19" s="4" t="s">
        <v>19</v>
      </c>
      <c r="C19" s="5">
        <v>81</v>
      </c>
      <c r="D19" s="6">
        <v>4512.51</v>
      </c>
      <c r="E19" s="5">
        <v>0</v>
      </c>
      <c r="F19" s="6">
        <v>0</v>
      </c>
      <c r="G19" s="5">
        <v>0</v>
      </c>
      <c r="H19" s="5">
        <v>169</v>
      </c>
      <c r="I19" s="5">
        <v>0</v>
      </c>
      <c r="J19" s="6">
        <v>0</v>
      </c>
      <c r="K19" s="5">
        <v>81</v>
      </c>
      <c r="L19" s="6">
        <v>4512.51</v>
      </c>
      <c r="M19" s="4" t="s">
        <v>20</v>
      </c>
    </row>
    <row r="20" spans="1:13" ht="15" customHeight="1" x14ac:dyDescent="0.2">
      <c r="A20" s="4" t="s">
        <v>36</v>
      </c>
      <c r="B20" s="4" t="s">
        <v>37</v>
      </c>
      <c r="C20" s="5">
        <v>130</v>
      </c>
      <c r="D20" s="6">
        <v>19210.099999999999</v>
      </c>
      <c r="E20" s="5">
        <v>0</v>
      </c>
      <c r="F20" s="6">
        <v>0</v>
      </c>
      <c r="G20" s="5">
        <v>0</v>
      </c>
      <c r="H20" s="5">
        <v>0</v>
      </c>
      <c r="I20" s="5">
        <v>25</v>
      </c>
      <c r="J20" s="6">
        <v>4104.75</v>
      </c>
      <c r="K20" s="5">
        <v>105</v>
      </c>
      <c r="L20" s="6">
        <v>15515.85</v>
      </c>
      <c r="M20" s="4" t="s">
        <v>20</v>
      </c>
    </row>
    <row r="21" spans="1:13" ht="15" customHeight="1" x14ac:dyDescent="0.2">
      <c r="A21" s="4" t="s">
        <v>38</v>
      </c>
      <c r="B21" s="4" t="s">
        <v>39</v>
      </c>
      <c r="C21" s="5">
        <v>38</v>
      </c>
      <c r="D21" s="6">
        <v>14331.32</v>
      </c>
      <c r="E21" s="5">
        <v>0</v>
      </c>
      <c r="F21" s="6">
        <v>0</v>
      </c>
      <c r="G21" s="5">
        <v>0</v>
      </c>
      <c r="H21" s="5">
        <v>0</v>
      </c>
      <c r="I21" s="5">
        <v>0</v>
      </c>
      <c r="J21" s="6">
        <v>0</v>
      </c>
      <c r="K21" s="5">
        <v>38</v>
      </c>
      <c r="L21" s="6">
        <v>14331.32</v>
      </c>
      <c r="M21" s="4" t="s">
        <v>20</v>
      </c>
    </row>
    <row r="22" spans="1:13" ht="15" customHeight="1" x14ac:dyDescent="0.2">
      <c r="A22" s="4" t="s">
        <v>40</v>
      </c>
      <c r="B22" s="4" t="s">
        <v>33</v>
      </c>
      <c r="C22" s="5">
        <v>11</v>
      </c>
      <c r="D22" s="6">
        <v>287.10000000000002</v>
      </c>
      <c r="E22" s="5">
        <v>40</v>
      </c>
      <c r="F22" s="6">
        <v>0</v>
      </c>
      <c r="G22" s="5">
        <v>65</v>
      </c>
      <c r="H22" s="5">
        <v>70</v>
      </c>
      <c r="I22" s="5">
        <v>0</v>
      </c>
      <c r="J22" s="6">
        <v>0</v>
      </c>
      <c r="K22" s="5">
        <v>51</v>
      </c>
      <c r="L22" s="6">
        <v>1331.1</v>
      </c>
      <c r="M22" s="4" t="s">
        <v>20</v>
      </c>
    </row>
    <row r="23" spans="1:13" ht="15" customHeight="1" x14ac:dyDescent="0.2">
      <c r="A23" s="4" t="s">
        <v>41</v>
      </c>
      <c r="B23" s="4" t="s">
        <v>19</v>
      </c>
      <c r="C23" s="5">
        <v>20</v>
      </c>
      <c r="D23" s="6">
        <v>2042.8</v>
      </c>
      <c r="E23" s="5">
        <v>0</v>
      </c>
      <c r="F23" s="6">
        <v>0</v>
      </c>
      <c r="G23" s="5">
        <v>0</v>
      </c>
      <c r="H23" s="5">
        <v>0</v>
      </c>
      <c r="I23" s="5">
        <v>0</v>
      </c>
      <c r="J23" s="6">
        <v>0</v>
      </c>
      <c r="K23" s="5">
        <v>20</v>
      </c>
      <c r="L23" s="6">
        <v>2042.8</v>
      </c>
      <c r="M23" s="4" t="s">
        <v>20</v>
      </c>
    </row>
    <row r="24" spans="1:13" ht="15" customHeight="1" x14ac:dyDescent="0.2">
      <c r="A24" s="4" t="s">
        <v>42</v>
      </c>
      <c r="B24" s="4" t="s">
        <v>19</v>
      </c>
      <c r="C24" s="5">
        <v>30</v>
      </c>
      <c r="D24" s="6">
        <v>5621.1</v>
      </c>
      <c r="E24" s="5">
        <v>0</v>
      </c>
      <c r="F24" s="6">
        <v>0</v>
      </c>
      <c r="G24" s="5">
        <v>0</v>
      </c>
      <c r="H24" s="5">
        <v>0</v>
      </c>
      <c r="I24" s="5">
        <v>0</v>
      </c>
      <c r="J24" s="6">
        <v>0</v>
      </c>
      <c r="K24" s="5">
        <v>30</v>
      </c>
      <c r="L24" s="6">
        <v>5621.1</v>
      </c>
      <c r="M24" s="4" t="s">
        <v>20</v>
      </c>
    </row>
    <row r="25" spans="1:13" ht="15" customHeight="1" x14ac:dyDescent="0.2">
      <c r="A25" s="4" t="s">
        <v>43</v>
      </c>
      <c r="B25" s="4" t="s">
        <v>22</v>
      </c>
      <c r="C25" s="5">
        <v>0</v>
      </c>
      <c r="D25" s="6">
        <v>0</v>
      </c>
      <c r="E25" s="5">
        <v>90</v>
      </c>
      <c r="F25" s="6">
        <v>3145.1</v>
      </c>
      <c r="G25" s="5">
        <v>0</v>
      </c>
      <c r="H25" s="5">
        <v>0</v>
      </c>
      <c r="I25" s="5">
        <v>87</v>
      </c>
      <c r="J25" s="6">
        <v>2859.5</v>
      </c>
      <c r="K25" s="5">
        <v>3</v>
      </c>
      <c r="L25" s="6">
        <v>128.66999999999999</v>
      </c>
      <c r="M25" s="4" t="s">
        <v>20</v>
      </c>
    </row>
    <row r="26" spans="1:13" ht="15" customHeight="1" x14ac:dyDescent="0.2">
      <c r="A26" s="4" t="s">
        <v>44</v>
      </c>
      <c r="B26" s="4" t="s">
        <v>19</v>
      </c>
      <c r="C26" s="5">
        <v>0</v>
      </c>
      <c r="D26" s="6">
        <v>0</v>
      </c>
      <c r="E26" s="5">
        <v>0</v>
      </c>
      <c r="F26" s="6">
        <v>0</v>
      </c>
      <c r="G26" s="5">
        <v>0</v>
      </c>
      <c r="H26" s="5">
        <v>0</v>
      </c>
      <c r="I26" s="5">
        <v>0</v>
      </c>
      <c r="J26" s="6">
        <v>0</v>
      </c>
      <c r="K26" s="5">
        <v>0</v>
      </c>
      <c r="L26" s="6">
        <v>0</v>
      </c>
      <c r="M26" s="4" t="s">
        <v>20</v>
      </c>
    </row>
    <row r="27" spans="1:13" ht="15" customHeight="1" x14ac:dyDescent="0.2">
      <c r="A27" s="4" t="s">
        <v>45</v>
      </c>
      <c r="B27" s="4" t="s">
        <v>19</v>
      </c>
      <c r="C27" s="5">
        <v>0</v>
      </c>
      <c r="D27" s="6">
        <v>0</v>
      </c>
      <c r="E27" s="5">
        <v>0</v>
      </c>
      <c r="F27" s="6">
        <v>0</v>
      </c>
      <c r="G27" s="5">
        <v>0</v>
      </c>
      <c r="H27" s="5">
        <v>0</v>
      </c>
      <c r="I27" s="5">
        <v>0</v>
      </c>
      <c r="J27" s="6">
        <v>0</v>
      </c>
      <c r="K27" s="5">
        <v>0</v>
      </c>
      <c r="L27" s="6">
        <v>0</v>
      </c>
      <c r="M27" s="4" t="s">
        <v>20</v>
      </c>
    </row>
    <row r="28" spans="1:13" ht="15" customHeight="1" x14ac:dyDescent="0.2">
      <c r="A28" s="4" t="s">
        <v>46</v>
      </c>
      <c r="B28" s="4" t="s">
        <v>47</v>
      </c>
      <c r="C28" s="5">
        <v>100</v>
      </c>
      <c r="D28" s="6">
        <v>7124</v>
      </c>
      <c r="E28" s="5">
        <v>580</v>
      </c>
      <c r="F28" s="6">
        <v>32058</v>
      </c>
      <c r="G28" s="5">
        <v>130</v>
      </c>
      <c r="H28" s="5">
        <v>0</v>
      </c>
      <c r="I28" s="5">
        <v>650</v>
      </c>
      <c r="J28" s="6">
        <v>39580</v>
      </c>
      <c r="K28" s="5">
        <v>30</v>
      </c>
      <c r="L28" s="6">
        <v>2137.1999999999998</v>
      </c>
      <c r="M28" s="4" t="s">
        <v>20</v>
      </c>
    </row>
    <row r="29" spans="1:13" ht="15" customHeight="1" x14ac:dyDescent="0.2">
      <c r="A29" s="4" t="s">
        <v>48</v>
      </c>
      <c r="B29" s="4" t="s">
        <v>47</v>
      </c>
      <c r="C29" s="5">
        <v>134</v>
      </c>
      <c r="D29" s="6">
        <v>28429.439999999999</v>
      </c>
      <c r="E29" s="5">
        <v>42</v>
      </c>
      <c r="F29" s="6">
        <v>6576.96</v>
      </c>
      <c r="G29" s="5">
        <v>130</v>
      </c>
      <c r="H29" s="5">
        <v>26</v>
      </c>
      <c r="I29" s="5">
        <v>10</v>
      </c>
      <c r="J29" s="6">
        <v>2143.1999999999998</v>
      </c>
      <c r="K29" s="5">
        <v>166</v>
      </c>
      <c r="L29" s="6">
        <v>35218.559999999998</v>
      </c>
      <c r="M29" s="4" t="s">
        <v>20</v>
      </c>
    </row>
    <row r="30" spans="1:13" ht="15" customHeight="1" x14ac:dyDescent="0.2">
      <c r="A30" s="4" t="s">
        <v>49</v>
      </c>
      <c r="B30" s="4" t="s">
        <v>19</v>
      </c>
      <c r="C30" s="5">
        <v>0</v>
      </c>
      <c r="D30" s="6">
        <v>0</v>
      </c>
      <c r="E30" s="5">
        <v>0</v>
      </c>
      <c r="F30" s="6">
        <v>0</v>
      </c>
      <c r="G30" s="5">
        <v>0</v>
      </c>
      <c r="H30" s="5">
        <v>0</v>
      </c>
      <c r="I30" s="5">
        <v>0</v>
      </c>
      <c r="J30" s="6">
        <v>0</v>
      </c>
      <c r="K30" s="5">
        <v>0</v>
      </c>
      <c r="L30" s="6">
        <v>0</v>
      </c>
      <c r="M30" s="4" t="s">
        <v>20</v>
      </c>
    </row>
    <row r="31" spans="1:13" ht="15" customHeight="1" x14ac:dyDescent="0.2">
      <c r="A31" s="4" t="s">
        <v>50</v>
      </c>
      <c r="B31" s="4" t="s">
        <v>51</v>
      </c>
      <c r="C31" s="5">
        <v>30</v>
      </c>
      <c r="D31" s="6">
        <v>6150.9</v>
      </c>
      <c r="E31" s="5">
        <v>50</v>
      </c>
      <c r="F31" s="6">
        <v>10251.5</v>
      </c>
      <c r="G31" s="5">
        <v>20</v>
      </c>
      <c r="H31" s="5">
        <v>30</v>
      </c>
      <c r="I31" s="5">
        <v>26</v>
      </c>
      <c r="J31" s="6">
        <v>4556.2</v>
      </c>
      <c r="K31" s="5">
        <v>54</v>
      </c>
      <c r="L31" s="6">
        <v>11071.62</v>
      </c>
      <c r="M31" s="4" t="s">
        <v>20</v>
      </c>
    </row>
    <row r="32" spans="1:13" ht="15" customHeight="1" x14ac:dyDescent="0.2">
      <c r="A32" s="4" t="s">
        <v>52</v>
      </c>
      <c r="B32" s="4" t="s">
        <v>19</v>
      </c>
      <c r="C32" s="5">
        <v>0</v>
      </c>
      <c r="D32" s="6">
        <v>0</v>
      </c>
      <c r="E32" s="5">
        <v>0</v>
      </c>
      <c r="F32" s="6">
        <v>0</v>
      </c>
      <c r="G32" s="5">
        <v>0</v>
      </c>
      <c r="H32" s="5">
        <v>0</v>
      </c>
      <c r="I32" s="5">
        <v>0</v>
      </c>
      <c r="J32" s="6">
        <v>0</v>
      </c>
      <c r="K32" s="5">
        <v>0</v>
      </c>
      <c r="L32" s="6">
        <v>0</v>
      </c>
      <c r="M32" s="4" t="s">
        <v>20</v>
      </c>
    </row>
    <row r="33" spans="1:13" ht="15" customHeight="1" x14ac:dyDescent="0.2">
      <c r="A33" s="4" t="s">
        <v>53</v>
      </c>
      <c r="B33" s="4" t="s">
        <v>19</v>
      </c>
      <c r="C33" s="5">
        <v>0</v>
      </c>
      <c r="D33" s="6">
        <v>0</v>
      </c>
      <c r="E33" s="5">
        <v>0</v>
      </c>
      <c r="F33" s="6">
        <v>0</v>
      </c>
      <c r="G33" s="5">
        <v>0</v>
      </c>
      <c r="H33" s="5">
        <v>10</v>
      </c>
      <c r="I33" s="5">
        <v>0</v>
      </c>
      <c r="J33" s="6">
        <v>0</v>
      </c>
      <c r="K33" s="5">
        <v>0</v>
      </c>
      <c r="L33" s="6">
        <v>0</v>
      </c>
      <c r="M33" s="4" t="s">
        <v>20</v>
      </c>
    </row>
    <row r="34" spans="1:13" ht="15" customHeight="1" x14ac:dyDescent="0.2">
      <c r="A34" s="4" t="s">
        <v>54</v>
      </c>
      <c r="B34" s="4" t="s">
        <v>47</v>
      </c>
      <c r="C34" s="5">
        <v>0</v>
      </c>
      <c r="D34" s="6">
        <v>0</v>
      </c>
      <c r="E34" s="5">
        <v>0</v>
      </c>
      <c r="F34" s="6">
        <v>0</v>
      </c>
      <c r="G34" s="5">
        <v>0</v>
      </c>
      <c r="H34" s="5">
        <v>0</v>
      </c>
      <c r="I34" s="5">
        <v>0</v>
      </c>
      <c r="J34" s="6">
        <v>0</v>
      </c>
      <c r="K34" s="5">
        <v>0</v>
      </c>
      <c r="L34" s="6">
        <v>0</v>
      </c>
      <c r="M34" s="4" t="s">
        <v>20</v>
      </c>
    </row>
    <row r="35" spans="1:13" ht="15" customHeight="1" x14ac:dyDescent="0.2">
      <c r="A35" s="4" t="s">
        <v>55</v>
      </c>
      <c r="B35" s="4" t="s">
        <v>47</v>
      </c>
      <c r="C35" s="5">
        <v>0</v>
      </c>
      <c r="D35" s="6">
        <v>0</v>
      </c>
      <c r="E35" s="5">
        <v>0</v>
      </c>
      <c r="F35" s="6">
        <v>0</v>
      </c>
      <c r="G35" s="5">
        <v>0</v>
      </c>
      <c r="H35" s="5">
        <v>0</v>
      </c>
      <c r="I35" s="5">
        <v>0</v>
      </c>
      <c r="J35" s="6">
        <v>0</v>
      </c>
      <c r="K35" s="5">
        <v>0</v>
      </c>
      <c r="L35" s="6">
        <v>0</v>
      </c>
      <c r="M35" s="4" t="s">
        <v>20</v>
      </c>
    </row>
    <row r="36" spans="1:13" ht="15" customHeight="1" x14ac:dyDescent="0.2">
      <c r="A36" s="4" t="s">
        <v>56</v>
      </c>
      <c r="B36" s="4" t="s">
        <v>19</v>
      </c>
      <c r="C36" s="5">
        <v>0</v>
      </c>
      <c r="D36" s="6">
        <v>0</v>
      </c>
      <c r="E36" s="5">
        <v>0</v>
      </c>
      <c r="F36" s="6">
        <v>0</v>
      </c>
      <c r="G36" s="5">
        <v>0</v>
      </c>
      <c r="H36" s="5">
        <v>0</v>
      </c>
      <c r="I36" s="5">
        <v>0</v>
      </c>
      <c r="J36" s="6">
        <v>0</v>
      </c>
      <c r="K36" s="5">
        <v>0</v>
      </c>
      <c r="L36" s="6">
        <v>0</v>
      </c>
      <c r="M36" s="4" t="s">
        <v>20</v>
      </c>
    </row>
    <row r="37" spans="1:13" ht="15" customHeight="1" x14ac:dyDescent="0.2">
      <c r="A37" s="4" t="s">
        <v>57</v>
      </c>
      <c r="B37" s="4" t="s">
        <v>19</v>
      </c>
      <c r="C37" s="5">
        <v>120</v>
      </c>
      <c r="D37" s="6">
        <v>16291.2</v>
      </c>
      <c r="E37" s="5">
        <v>140</v>
      </c>
      <c r="F37" s="6">
        <v>13576</v>
      </c>
      <c r="G37" s="5">
        <v>260</v>
      </c>
      <c r="H37" s="5">
        <v>130</v>
      </c>
      <c r="I37" s="5">
        <v>260</v>
      </c>
      <c r="J37" s="6">
        <v>29757</v>
      </c>
      <c r="K37" s="5">
        <v>0</v>
      </c>
      <c r="L37" s="6">
        <v>0</v>
      </c>
      <c r="M37" s="4" t="s">
        <v>20</v>
      </c>
    </row>
    <row r="38" spans="1:13" ht="15" customHeight="1" x14ac:dyDescent="0.2">
      <c r="A38" s="4" t="s">
        <v>58</v>
      </c>
      <c r="B38" s="4" t="s">
        <v>19</v>
      </c>
      <c r="C38" s="5">
        <v>85</v>
      </c>
      <c r="D38" s="6">
        <v>3572.55</v>
      </c>
      <c r="E38" s="5">
        <v>390</v>
      </c>
      <c r="F38" s="6">
        <v>10927.8</v>
      </c>
      <c r="G38" s="5">
        <v>50</v>
      </c>
      <c r="H38" s="5">
        <v>12</v>
      </c>
      <c r="I38" s="5">
        <v>442</v>
      </c>
      <c r="J38" s="6">
        <v>15878</v>
      </c>
      <c r="K38" s="5">
        <v>33</v>
      </c>
      <c r="L38" s="6">
        <v>1386.99</v>
      </c>
      <c r="M38" s="4" t="s">
        <v>20</v>
      </c>
    </row>
    <row r="39" spans="1:13" ht="15" customHeight="1" x14ac:dyDescent="0.2">
      <c r="A39" s="4" t="s">
        <v>59</v>
      </c>
      <c r="B39" s="4" t="s">
        <v>19</v>
      </c>
      <c r="C39" s="5">
        <v>112</v>
      </c>
      <c r="D39" s="6">
        <v>9338.56</v>
      </c>
      <c r="E39" s="5">
        <v>40</v>
      </c>
      <c r="F39" s="6">
        <v>0</v>
      </c>
      <c r="G39" s="5">
        <v>286</v>
      </c>
      <c r="H39" s="5">
        <v>130</v>
      </c>
      <c r="I39" s="5">
        <v>26</v>
      </c>
      <c r="J39" s="6">
        <v>1853</v>
      </c>
      <c r="K39" s="5">
        <v>126</v>
      </c>
      <c r="L39" s="6">
        <v>10505.88</v>
      </c>
      <c r="M39" s="4" t="s">
        <v>20</v>
      </c>
    </row>
    <row r="40" spans="1:13" ht="15" customHeight="1" x14ac:dyDescent="0.2">
      <c r="A40" s="4" t="s">
        <v>60</v>
      </c>
      <c r="B40" s="4" t="s">
        <v>33</v>
      </c>
      <c r="C40" s="5">
        <v>10</v>
      </c>
      <c r="D40" s="6">
        <v>180</v>
      </c>
      <c r="E40" s="5">
        <v>130</v>
      </c>
      <c r="F40" s="6">
        <v>2340</v>
      </c>
      <c r="G40" s="5">
        <v>0</v>
      </c>
      <c r="H40" s="5">
        <v>200</v>
      </c>
      <c r="I40" s="5">
        <v>130</v>
      </c>
      <c r="J40" s="6">
        <v>2000</v>
      </c>
      <c r="K40" s="5">
        <v>10</v>
      </c>
      <c r="L40" s="6">
        <v>180</v>
      </c>
      <c r="M40" s="4" t="s">
        <v>20</v>
      </c>
    </row>
    <row r="41" spans="1:13" ht="15" customHeight="1" x14ac:dyDescent="0.2">
      <c r="A41" s="4" t="s">
        <v>61</v>
      </c>
      <c r="B41" s="4" t="s">
        <v>33</v>
      </c>
      <c r="C41" s="5">
        <v>0</v>
      </c>
      <c r="D41" s="6">
        <v>0</v>
      </c>
      <c r="E41" s="5">
        <v>0</v>
      </c>
      <c r="F41" s="6">
        <v>0</v>
      </c>
      <c r="G41" s="5">
        <v>0</v>
      </c>
      <c r="H41" s="5">
        <v>30</v>
      </c>
      <c r="I41" s="5">
        <v>0</v>
      </c>
      <c r="J41" s="6">
        <v>0</v>
      </c>
      <c r="K41" s="5">
        <v>0</v>
      </c>
      <c r="L41" s="6">
        <v>0</v>
      </c>
      <c r="M41" s="4" t="s">
        <v>20</v>
      </c>
    </row>
    <row r="42" spans="1:13" ht="15" customHeight="1" x14ac:dyDescent="0.2">
      <c r="A42" s="4" t="s">
        <v>62</v>
      </c>
      <c r="B42" s="4" t="s">
        <v>63</v>
      </c>
      <c r="C42" s="5">
        <v>50</v>
      </c>
      <c r="D42" s="6">
        <v>7579</v>
      </c>
      <c r="E42" s="5">
        <v>0</v>
      </c>
      <c r="F42" s="6">
        <v>0</v>
      </c>
      <c r="G42" s="5">
        <v>0</v>
      </c>
      <c r="H42" s="5">
        <v>0</v>
      </c>
      <c r="I42" s="5">
        <v>0</v>
      </c>
      <c r="J42" s="6">
        <v>0</v>
      </c>
      <c r="K42" s="5">
        <v>50</v>
      </c>
      <c r="L42" s="6">
        <v>7579</v>
      </c>
      <c r="M42" s="4" t="s">
        <v>20</v>
      </c>
    </row>
    <row r="43" spans="1:13" ht="15" customHeight="1" x14ac:dyDescent="0.2">
      <c r="A43" s="4" t="s">
        <v>64</v>
      </c>
      <c r="B43" s="4" t="s">
        <v>19</v>
      </c>
      <c r="C43" s="5">
        <v>50</v>
      </c>
      <c r="D43" s="6">
        <v>10803.5</v>
      </c>
      <c r="E43" s="5">
        <v>0</v>
      </c>
      <c r="F43" s="6">
        <v>0</v>
      </c>
      <c r="G43" s="5">
        <v>0</v>
      </c>
      <c r="H43" s="5">
        <v>0</v>
      </c>
      <c r="I43" s="5">
        <v>0</v>
      </c>
      <c r="J43" s="6">
        <v>0</v>
      </c>
      <c r="K43" s="5">
        <v>50</v>
      </c>
      <c r="L43" s="6">
        <v>10803.5</v>
      </c>
      <c r="M43" s="4" t="s">
        <v>20</v>
      </c>
    </row>
    <row r="44" spans="1:13" ht="15" customHeight="1" x14ac:dyDescent="0.2">
      <c r="A44" s="7"/>
      <c r="B44" s="7"/>
      <c r="C44" s="11">
        <f>SUM(C7:C43)</f>
        <v>1518</v>
      </c>
      <c r="D44" s="11">
        <f t="shared" ref="D44:L44" si="0">SUM(D7:D43)</f>
        <v>175419.51999999999</v>
      </c>
      <c r="E44" s="11">
        <f t="shared" si="0"/>
        <v>2245</v>
      </c>
      <c r="F44" s="11">
        <f t="shared" si="0"/>
        <v>162101.16</v>
      </c>
      <c r="G44" s="11">
        <f t="shared" si="0"/>
        <v>1781</v>
      </c>
      <c r="H44" s="11">
        <f t="shared" si="0"/>
        <v>1118</v>
      </c>
      <c r="I44" s="11">
        <f t="shared" si="0"/>
        <v>2315</v>
      </c>
      <c r="J44" s="11">
        <f t="shared" si="0"/>
        <v>187345.75000000003</v>
      </c>
      <c r="K44" s="11">
        <f t="shared" si="0"/>
        <v>1448</v>
      </c>
      <c r="L44" s="11">
        <f t="shared" si="0"/>
        <v>157925.78</v>
      </c>
      <c r="M44" s="7"/>
    </row>
    <row r="45" spans="1:13" ht="15" customHeight="1" x14ac:dyDescent="0.2">
      <c r="A45" s="9" t="s">
        <v>65</v>
      </c>
    </row>
    <row r="46" spans="1:13" ht="15" customHeight="1" x14ac:dyDescent="0.2">
      <c r="A46" s="9" t="s">
        <v>66</v>
      </c>
    </row>
    <row r="47" spans="1:13" ht="15" customHeight="1" x14ac:dyDescent="0.2">
      <c r="A47" s="2"/>
    </row>
    <row r="49" spans="1:1" ht="15" customHeight="1" x14ac:dyDescent="0.2">
      <c r="A49" s="2"/>
    </row>
    <row r="50" spans="1:1" ht="15" customHeight="1" x14ac:dyDescent="0.2">
      <c r="A50" s="10"/>
    </row>
    <row r="51" spans="1:1" ht="15" customHeight="1" x14ac:dyDescent="0.2">
      <c r="A51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KNK-ACCOUNTS</dc:creator>
  <cp:lastModifiedBy>KNK-ACCOUNTS</cp:lastModifiedBy>
  <dcterms:created xsi:type="dcterms:W3CDTF">2026-08-01T10:20:38Z</dcterms:created>
  <dcterms:modified xsi:type="dcterms:W3CDTF">2026-08-01T10:21:29Z</dcterms:modified>
</cp:coreProperties>
</file>