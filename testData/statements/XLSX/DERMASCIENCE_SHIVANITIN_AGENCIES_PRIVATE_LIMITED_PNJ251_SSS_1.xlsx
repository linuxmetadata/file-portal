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13\Documents\"/>
    </mc:Choice>
  </mc:AlternateContent>
  <xr:revisionPtr revIDLastSave="0" documentId="8_{BC50A614-E1A3-4A27-916E-AB538B247969}" xr6:coauthVersionLast="47" xr6:coauthVersionMax="47" xr10:uidLastSave="{00000000-0000-0000-0000-000000000000}"/>
  <bookViews>
    <workbookView xWindow="-120" yWindow="-120" windowWidth="15600" windowHeight="11160" xr2:uid="{C6139575-5992-4079-A267-3A4B3E950525}"/>
  </bookViews>
  <sheets>
    <sheet name="Stock and Sale Analys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0" i="1" l="1"/>
  <c r="J40" i="1"/>
  <c r="I40" i="1"/>
  <c r="H40" i="1"/>
  <c r="D35" i="1"/>
  <c r="J35" i="1"/>
  <c r="I35" i="1"/>
  <c r="H35" i="1"/>
</calcChain>
</file>

<file path=xl/sharedStrings.xml><?xml version="1.0" encoding="utf-8"?>
<sst xmlns="http://schemas.openxmlformats.org/spreadsheetml/2006/main" count="112" uniqueCount="85">
  <si>
    <t>00</t>
  </si>
  <si>
    <t>ACN0293</t>
  </si>
  <si>
    <t>ACNESTAL FACE WASH 60ML</t>
  </si>
  <si>
    <t>1</t>
  </si>
  <si>
    <t>ACT0588</t>
  </si>
  <si>
    <t>ACTIVE MF MOISTURISING CREAM 100G</t>
  </si>
  <si>
    <t>ACT0602</t>
  </si>
  <si>
    <t>ACTIVE MF MOISTURISING LOTION 200ML</t>
  </si>
  <si>
    <t>BRI0524</t>
  </si>
  <si>
    <t>BRITAM 100 TAB 10S</t>
  </si>
  <si>
    <t>10</t>
  </si>
  <si>
    <t>BRI0978</t>
  </si>
  <si>
    <t>BRITAM 50MG TAB 15S</t>
  </si>
  <si>
    <t>15</t>
  </si>
  <si>
    <t>CAR1150</t>
  </si>
  <si>
    <t>CARNIGLO-M TAB</t>
  </si>
  <si>
    <t>COG0097</t>
  </si>
  <si>
    <t>COGNIVEL D TAB 10S</t>
  </si>
  <si>
    <t>COG0043</t>
  </si>
  <si>
    <t>COGNIVEL TAB</t>
  </si>
  <si>
    <t>CYC0187</t>
  </si>
  <si>
    <t>CYCLONOX 100MG SOFTGEL CAP 5S</t>
  </si>
  <si>
    <t>5</t>
  </si>
  <si>
    <t>EPI0569</t>
  </si>
  <si>
    <t>EPITRA-500MG TAB 15S</t>
  </si>
  <si>
    <t>GAB0947</t>
  </si>
  <si>
    <t>GABAGESIC GEL 50G</t>
  </si>
  <si>
    <t>IBG0006</t>
  </si>
  <si>
    <t>IBGLOW ULTRA CREAM 15G</t>
  </si>
  <si>
    <t>IGN0024</t>
  </si>
  <si>
    <t>IGNICAR DS PLUS SYP</t>
  </si>
  <si>
    <t>IGN0008</t>
  </si>
  <si>
    <t>IGNICAR MANGO FLAV SYRUP 200ML</t>
  </si>
  <si>
    <t>IGN0009</t>
  </si>
  <si>
    <t>IGNICAR TAB</t>
  </si>
  <si>
    <t>KCL0004</t>
  </si>
  <si>
    <t>KCLITE GOLD CREAM 20GM</t>
  </si>
  <si>
    <t>KER0122</t>
  </si>
  <si>
    <t>KERAGRIS 60ML HAIR SERUM</t>
  </si>
  <si>
    <t>KER0198</t>
  </si>
  <si>
    <t>KERAGRIS MFR TOPICAL SOLU 60ML</t>
  </si>
  <si>
    <t>PAL0335</t>
  </si>
  <si>
    <t>PALMIDA TAB 15S</t>
  </si>
  <si>
    <t>PAT0193</t>
  </si>
  <si>
    <t>PATINEX 12.5MG PR TAB 10S</t>
  </si>
  <si>
    <t>PAT0229</t>
  </si>
  <si>
    <t>PATINEX PLUS TAB 10S</t>
  </si>
  <si>
    <t>PSO0058</t>
  </si>
  <si>
    <t>PSORAXIB MOIST LOTION 150ML</t>
  </si>
  <si>
    <t>REX0301</t>
  </si>
  <si>
    <t>RE-XITE PFS 1500MCG INJ 1ML</t>
  </si>
  <si>
    <t>REX0082</t>
  </si>
  <si>
    <t>RE-XITE PLUS CAP</t>
  </si>
  <si>
    <t>REX0121</t>
  </si>
  <si>
    <t>RE-XITE PLUS INJ 2ML</t>
  </si>
  <si>
    <t>VOR0112</t>
  </si>
  <si>
    <t>VORTICA-10 TAB 10S</t>
  </si>
  <si>
    <t>ZOL0390</t>
  </si>
  <si>
    <t>ZOLCALM-10MG TAB 15S</t>
  </si>
  <si>
    <t>ZOL0391</t>
  </si>
  <si>
    <t>ZOLCALM-5MG TAB 15S</t>
  </si>
  <si>
    <t>Total Value (00)</t>
  </si>
  <si>
    <t>DR REDDY DERMA</t>
  </si>
  <si>
    <t>EBE0007</t>
  </si>
  <si>
    <t>EBERNET CREAM 15GM</t>
  </si>
  <si>
    <t>EBE0008</t>
  </si>
  <si>
    <t>EBERNET CREAM 30GM</t>
  </si>
  <si>
    <t>EBE0009</t>
  </si>
  <si>
    <t>EBERNET M CREAM</t>
  </si>
  <si>
    <t>Total Value (DR REDDY DERMA)</t>
  </si>
  <si>
    <t>Total</t>
  </si>
  <si>
    <t>SHIVANITIN AGENCIES PVT. LTD.</t>
  </si>
  <si>
    <t>57,TILAK ROAD, OPP. MAHAVIR JAIN KANYA PATHSHALA DEHRADUN</t>
  </si>
  <si>
    <t>Stock And Sales</t>
  </si>
  <si>
    <t>FROM: 01-Jul-26 TO: 31-Jul-26</t>
  </si>
  <si>
    <t>Barcode</t>
  </si>
  <si>
    <t>Name</t>
  </si>
  <si>
    <t>Pack</t>
  </si>
  <si>
    <t>Opening</t>
  </si>
  <si>
    <t>Purchase</t>
  </si>
  <si>
    <t>Sale</t>
  </si>
  <si>
    <t>Closing</t>
  </si>
  <si>
    <t>Pur Value</t>
  </si>
  <si>
    <t>Sale Value</t>
  </si>
  <si>
    <t>Closing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</si>
</sst>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theme="1"/>
      <name val="Arial"/>
      <family val="2"/>
    </font>
    <font>
      <sz val="7"/>
      <color theme="1"/>
      <name val="Arial"/>
      <family val="2"/>
    </font>
    <font>
      <b/>
      <sz val="12"/>
      <color indexed="16"/>
      <name val="Calibri"/>
      <family val="2"/>
    </font>
    <font>
      <b/>
      <sz val="10"/>
      <color indexed="58"/>
      <name val="Calibri"/>
      <family val="2"/>
    </font>
    <font>
      <b/>
      <u/>
      <sz val="12"/>
      <color indexed="16"/>
      <name val="Calibri"/>
      <family val="2"/>
    </font>
    <font>
      <b/>
      <sz val="10"/>
      <color indexed="12"/>
      <name val="Calibri"/>
      <family val="2"/>
    </font>
    <font>
      <b/>
      <sz val="8"/>
      <color indexed="16"/>
      <name val="Calibri"/>
      <family val="2"/>
    </font>
    <font>
      <b/>
      <sz val="8"/>
      <color rgb="FFFF0000"/>
      <name val="Calibri"/>
      <family val="2"/>
    </font>
    <font>
      <sz val="8"/>
      <color theme="1"/>
      <name val="Calibri"/>
      <family val="2"/>
    </font>
    <font>
      <b/>
      <sz val="8"/>
      <color rgb="FF0000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right" vertical="center" wrapText="1"/>
    </xf>
    <xf numFmtId="2" fontId="6" fillId="3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2" fontId="7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2" fontId="8" fillId="0" borderId="1" xfId="0" applyNumberFormat="1" applyFont="1" applyBorder="1" applyAlignment="1">
      <alignment horizontal="right" vertical="center"/>
    </xf>
    <xf numFmtId="0" fontId="9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right" vertical="center"/>
    </xf>
    <xf numFmtId="2" fontId="9" fillId="2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2" fontId="6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F85D4-549E-4E8F-842B-84E453A23709}">
  <dimension ref="A1:J41"/>
  <sheetViews>
    <sheetView tabSelected="1" workbookViewId="0"/>
  </sheetViews>
  <sheetFormatPr defaultRowHeight="10.7" customHeight="1" x14ac:dyDescent="0.15"/>
  <cols>
    <col min="1" max="1" width="8.7109375" style="1" customWidth="1"/>
    <col min="2" max="2" width="28.140625" style="1" bestFit="1" customWidth="1"/>
    <col min="3" max="3" width="4.7109375" style="1" customWidth="1"/>
    <col min="4" max="10" width="7.7109375" style="1" customWidth="1"/>
    <col min="11" max="16384" width="9.140625" style="1"/>
  </cols>
  <sheetData>
    <row r="1" spans="1:10" ht="19.5" customHeight="1" x14ac:dyDescent="0.15">
      <c r="A1" s="2" t="s">
        <v>71</v>
      </c>
      <c r="B1" s="2"/>
      <c r="C1" s="2"/>
      <c r="D1" s="2"/>
      <c r="E1" s="2"/>
      <c r="F1" s="2"/>
      <c r="G1" s="2"/>
      <c r="H1" s="2"/>
      <c r="I1" s="2"/>
      <c r="J1" s="2"/>
    </row>
    <row r="2" spans="1:10" ht="14.25" customHeight="1" x14ac:dyDescent="0.15">
      <c r="A2" s="3" t="s">
        <v>72</v>
      </c>
      <c r="B2" s="3"/>
      <c r="C2" s="3"/>
      <c r="D2" s="3"/>
      <c r="E2" s="3"/>
      <c r="F2" s="3"/>
      <c r="G2" s="3"/>
      <c r="H2" s="3"/>
      <c r="I2" s="3"/>
      <c r="J2" s="3"/>
    </row>
    <row r="3" spans="1:10" ht="18" customHeight="1" x14ac:dyDescent="0.15">
      <c r="A3" s="4" t="s">
        <v>73</v>
      </c>
      <c r="B3" s="4"/>
      <c r="C3" s="4"/>
      <c r="D3" s="4"/>
      <c r="E3" s="4"/>
      <c r="F3" s="4"/>
      <c r="G3" s="4"/>
      <c r="H3" s="4"/>
      <c r="I3" s="4"/>
      <c r="J3" s="4"/>
    </row>
    <row r="4" spans="1:10" ht="15.75" customHeight="1" x14ac:dyDescent="0.15">
      <c r="A4" s="5" t="s">
        <v>74</v>
      </c>
      <c r="B4" s="5"/>
      <c r="C4" s="5"/>
      <c r="D4" s="5"/>
      <c r="E4" s="5"/>
      <c r="F4" s="5"/>
      <c r="G4" s="5"/>
      <c r="H4" s="5"/>
      <c r="I4" s="5"/>
      <c r="J4" s="5"/>
    </row>
    <row r="5" spans="1:10" ht="22.5" customHeight="1" x14ac:dyDescent="0.15">
      <c r="A5" s="6" t="s">
        <v>75</v>
      </c>
      <c r="B5" s="6" t="s">
        <v>76</v>
      </c>
      <c r="C5" s="6" t="s">
        <v>77</v>
      </c>
      <c r="D5" s="7" t="s">
        <v>78</v>
      </c>
      <c r="E5" s="7" t="s">
        <v>79</v>
      </c>
      <c r="F5" s="7" t="s">
        <v>80</v>
      </c>
      <c r="G5" s="7" t="s">
        <v>81</v>
      </c>
      <c r="H5" s="8" t="s">
        <v>82</v>
      </c>
      <c r="I5" s="8" t="s">
        <v>83</v>
      </c>
      <c r="J5" s="8" t="s">
        <v>84</v>
      </c>
    </row>
    <row r="6" spans="1:10" ht="10.7" customHeight="1" x14ac:dyDescent="0.15">
      <c r="A6" s="9" t="s">
        <v>0</v>
      </c>
      <c r="B6" s="9"/>
      <c r="C6" s="9"/>
      <c r="D6" s="10"/>
      <c r="E6" s="10"/>
      <c r="F6" s="10"/>
      <c r="G6" s="10"/>
      <c r="H6" s="11"/>
      <c r="I6" s="11"/>
      <c r="J6" s="11"/>
    </row>
    <row r="7" spans="1:10" ht="10.7" customHeight="1" x14ac:dyDescent="0.15">
      <c r="A7" s="12" t="s">
        <v>1</v>
      </c>
      <c r="B7" s="12" t="s">
        <v>2</v>
      </c>
      <c r="C7" s="12" t="s">
        <v>3</v>
      </c>
      <c r="D7" s="13">
        <v>11</v>
      </c>
      <c r="E7" s="13">
        <v>0</v>
      </c>
      <c r="F7" s="13">
        <v>0</v>
      </c>
      <c r="G7" s="13">
        <v>11</v>
      </c>
      <c r="H7" s="14">
        <v>0</v>
      </c>
      <c r="I7" s="14">
        <v>0</v>
      </c>
      <c r="J7" s="14">
        <v>1557.16</v>
      </c>
    </row>
    <row r="8" spans="1:10" ht="10.7" customHeight="1" x14ac:dyDescent="0.15">
      <c r="A8" s="12" t="s">
        <v>4</v>
      </c>
      <c r="B8" s="12" t="s">
        <v>5</v>
      </c>
      <c r="C8" s="12" t="s">
        <v>3</v>
      </c>
      <c r="D8" s="13">
        <v>15</v>
      </c>
      <c r="E8" s="13">
        <v>0</v>
      </c>
      <c r="F8" s="13">
        <v>0</v>
      </c>
      <c r="G8" s="13">
        <v>15</v>
      </c>
      <c r="H8" s="14">
        <v>0</v>
      </c>
      <c r="I8" s="14">
        <v>0</v>
      </c>
      <c r="J8" s="14">
        <v>3953.85</v>
      </c>
    </row>
    <row r="9" spans="1:10" ht="10.7" customHeight="1" x14ac:dyDescent="0.15">
      <c r="A9" s="12" t="s">
        <v>6</v>
      </c>
      <c r="B9" s="12" t="s">
        <v>7</v>
      </c>
      <c r="C9" s="12" t="s">
        <v>3</v>
      </c>
      <c r="D9" s="13">
        <v>10</v>
      </c>
      <c r="E9" s="13">
        <v>0</v>
      </c>
      <c r="F9" s="13">
        <v>4</v>
      </c>
      <c r="G9" s="13">
        <v>6</v>
      </c>
      <c r="H9" s="14">
        <v>0</v>
      </c>
      <c r="I9" s="14">
        <v>1715.92</v>
      </c>
      <c r="J9" s="14">
        <v>2394.3000000000002</v>
      </c>
    </row>
    <row r="10" spans="1:10" ht="10.7" customHeight="1" x14ac:dyDescent="0.15">
      <c r="A10" s="12" t="s">
        <v>8</v>
      </c>
      <c r="B10" s="12" t="s">
        <v>9</v>
      </c>
      <c r="C10" s="12" t="s">
        <v>10</v>
      </c>
      <c r="D10" s="13">
        <v>30</v>
      </c>
      <c r="E10" s="13">
        <v>20</v>
      </c>
      <c r="F10" s="13">
        <v>20</v>
      </c>
      <c r="G10" s="13">
        <v>30</v>
      </c>
      <c r="H10" s="14">
        <v>5300</v>
      </c>
      <c r="I10" s="14">
        <v>5653.25</v>
      </c>
      <c r="J10" s="14">
        <v>7950</v>
      </c>
    </row>
    <row r="11" spans="1:10" ht="10.7" customHeight="1" x14ac:dyDescent="0.15">
      <c r="A11" s="12" t="s">
        <v>11</v>
      </c>
      <c r="B11" s="12" t="s">
        <v>12</v>
      </c>
      <c r="C11" s="12" t="s">
        <v>13</v>
      </c>
      <c r="D11" s="13">
        <v>0</v>
      </c>
      <c r="E11" s="13">
        <v>20</v>
      </c>
      <c r="F11" s="13">
        <v>0</v>
      </c>
      <c r="G11" s="13">
        <v>20</v>
      </c>
      <c r="H11" s="14">
        <v>3745.4</v>
      </c>
      <c r="I11" s="14">
        <v>0</v>
      </c>
      <c r="J11" s="14">
        <v>3745.4</v>
      </c>
    </row>
    <row r="12" spans="1:10" ht="10.7" customHeight="1" x14ac:dyDescent="0.15">
      <c r="A12" s="12" t="s">
        <v>14</v>
      </c>
      <c r="B12" s="12" t="s">
        <v>15</v>
      </c>
      <c r="C12" s="12" t="s">
        <v>10</v>
      </c>
      <c r="D12" s="13">
        <v>0</v>
      </c>
      <c r="E12" s="13">
        <v>30</v>
      </c>
      <c r="F12" s="13">
        <v>14</v>
      </c>
      <c r="G12" s="13">
        <v>16</v>
      </c>
      <c r="H12" s="14">
        <v>7636.2</v>
      </c>
      <c r="I12" s="14">
        <v>2985.16</v>
      </c>
      <c r="J12" s="14">
        <v>4072.64</v>
      </c>
    </row>
    <row r="13" spans="1:10" ht="10.7" customHeight="1" x14ac:dyDescent="0.15">
      <c r="A13" s="12" t="s">
        <v>16</v>
      </c>
      <c r="B13" s="12" t="s">
        <v>17</v>
      </c>
      <c r="C13" s="12" t="s">
        <v>10</v>
      </c>
      <c r="D13" s="13">
        <v>8</v>
      </c>
      <c r="E13" s="13">
        <v>0</v>
      </c>
      <c r="F13" s="13">
        <v>0</v>
      </c>
      <c r="G13" s="13">
        <v>8</v>
      </c>
      <c r="H13" s="14">
        <v>0</v>
      </c>
      <c r="I13" s="14">
        <v>0</v>
      </c>
      <c r="J13" s="14">
        <v>1402.16</v>
      </c>
    </row>
    <row r="14" spans="1:10" ht="10.7" customHeight="1" x14ac:dyDescent="0.15">
      <c r="A14" s="12" t="s">
        <v>18</v>
      </c>
      <c r="B14" s="12" t="s">
        <v>19</v>
      </c>
      <c r="C14" s="12" t="s">
        <v>10</v>
      </c>
      <c r="D14" s="13">
        <v>35</v>
      </c>
      <c r="E14" s="13">
        <v>50</v>
      </c>
      <c r="F14" s="13">
        <v>31</v>
      </c>
      <c r="G14" s="13">
        <v>54</v>
      </c>
      <c r="H14" s="14">
        <v>10890.2</v>
      </c>
      <c r="I14" s="14">
        <v>6667.29</v>
      </c>
      <c r="J14" s="14">
        <v>11697</v>
      </c>
    </row>
    <row r="15" spans="1:10" ht="10.7" customHeight="1" x14ac:dyDescent="0.15">
      <c r="A15" s="12" t="s">
        <v>20</v>
      </c>
      <c r="B15" s="12" t="s">
        <v>21</v>
      </c>
      <c r="C15" s="12" t="s">
        <v>22</v>
      </c>
      <c r="D15" s="13">
        <v>12</v>
      </c>
      <c r="E15" s="13">
        <v>0</v>
      </c>
      <c r="F15" s="13">
        <v>0</v>
      </c>
      <c r="G15" s="13">
        <v>12</v>
      </c>
      <c r="H15" s="14">
        <v>0</v>
      </c>
      <c r="I15" s="14">
        <v>0</v>
      </c>
      <c r="J15" s="14">
        <v>4524.12</v>
      </c>
    </row>
    <row r="16" spans="1:10" ht="10.7" customHeight="1" x14ac:dyDescent="0.15">
      <c r="A16" s="12" t="s">
        <v>23</v>
      </c>
      <c r="B16" s="12" t="s">
        <v>24</v>
      </c>
      <c r="C16" s="12" t="s">
        <v>13</v>
      </c>
      <c r="D16" s="13">
        <v>0</v>
      </c>
      <c r="E16" s="13">
        <v>20</v>
      </c>
      <c r="F16" s="13">
        <v>3</v>
      </c>
      <c r="G16" s="13">
        <v>17</v>
      </c>
      <c r="H16" s="14">
        <v>2801.2</v>
      </c>
      <c r="I16" s="14">
        <v>452.85</v>
      </c>
      <c r="J16" s="14">
        <v>2381.02</v>
      </c>
    </row>
    <row r="17" spans="1:10" ht="10.7" customHeight="1" x14ac:dyDescent="0.15">
      <c r="A17" s="12" t="s">
        <v>25</v>
      </c>
      <c r="B17" s="12" t="s">
        <v>26</v>
      </c>
      <c r="C17" s="12" t="s">
        <v>3</v>
      </c>
      <c r="D17" s="13">
        <v>45</v>
      </c>
      <c r="E17" s="13">
        <v>70</v>
      </c>
      <c r="F17" s="13">
        <v>82</v>
      </c>
      <c r="G17" s="13">
        <v>33</v>
      </c>
      <c r="H17" s="14">
        <v>21725.200000000001</v>
      </c>
      <c r="I17" s="14">
        <v>25147.63</v>
      </c>
      <c r="J17" s="14">
        <v>10185.5</v>
      </c>
    </row>
    <row r="18" spans="1:10" ht="10.7" customHeight="1" x14ac:dyDescent="0.15">
      <c r="A18" s="12" t="s">
        <v>27</v>
      </c>
      <c r="B18" s="12" t="s">
        <v>28</v>
      </c>
      <c r="C18" s="12" t="s">
        <v>3</v>
      </c>
      <c r="D18" s="13">
        <v>3</v>
      </c>
      <c r="E18" s="13">
        <v>20</v>
      </c>
      <c r="F18" s="13">
        <v>3</v>
      </c>
      <c r="G18" s="13">
        <v>20</v>
      </c>
      <c r="H18" s="14">
        <v>6788.6</v>
      </c>
      <c r="I18" s="14">
        <v>1018.14</v>
      </c>
      <c r="J18" s="14">
        <v>6788.6</v>
      </c>
    </row>
    <row r="19" spans="1:10" ht="10.7" customHeight="1" x14ac:dyDescent="0.15">
      <c r="A19" s="12" t="s">
        <v>29</v>
      </c>
      <c r="B19" s="12" t="s">
        <v>30</v>
      </c>
      <c r="C19" s="12" t="s">
        <v>3</v>
      </c>
      <c r="D19" s="13">
        <v>0</v>
      </c>
      <c r="E19" s="13">
        <v>10</v>
      </c>
      <c r="F19" s="13">
        <v>0</v>
      </c>
      <c r="G19" s="13">
        <v>10</v>
      </c>
      <c r="H19" s="14">
        <v>9640.4</v>
      </c>
      <c r="I19" s="14">
        <v>0</v>
      </c>
      <c r="J19" s="14">
        <v>9640.4</v>
      </c>
    </row>
    <row r="20" spans="1:10" ht="10.7" customHeight="1" x14ac:dyDescent="0.15">
      <c r="A20" s="12" t="s">
        <v>31</v>
      </c>
      <c r="B20" s="12" t="s">
        <v>32</v>
      </c>
      <c r="C20" s="12" t="s">
        <v>3</v>
      </c>
      <c r="D20" s="13">
        <v>5</v>
      </c>
      <c r="E20" s="13">
        <v>10</v>
      </c>
      <c r="F20" s="13">
        <v>15</v>
      </c>
      <c r="G20" s="13">
        <v>0</v>
      </c>
      <c r="H20" s="14">
        <v>6565.1</v>
      </c>
      <c r="I20" s="14">
        <v>8520.5499999999993</v>
      </c>
      <c r="J20" s="14">
        <v>0</v>
      </c>
    </row>
    <row r="21" spans="1:10" ht="10.7" customHeight="1" x14ac:dyDescent="0.15">
      <c r="A21" s="12" t="s">
        <v>33</v>
      </c>
      <c r="B21" s="12" t="s">
        <v>34</v>
      </c>
      <c r="C21" s="12" t="s">
        <v>10</v>
      </c>
      <c r="D21" s="13">
        <v>41</v>
      </c>
      <c r="E21" s="13">
        <v>70</v>
      </c>
      <c r="F21" s="13">
        <v>29</v>
      </c>
      <c r="G21" s="13">
        <v>82</v>
      </c>
      <c r="H21" s="14">
        <v>23212.7</v>
      </c>
      <c r="I21" s="14">
        <v>10224.76</v>
      </c>
      <c r="J21" s="14">
        <v>27192.02</v>
      </c>
    </row>
    <row r="22" spans="1:10" ht="10.7" customHeight="1" x14ac:dyDescent="0.15">
      <c r="A22" s="12" t="s">
        <v>35</v>
      </c>
      <c r="B22" s="12" t="s">
        <v>36</v>
      </c>
      <c r="C22" s="12" t="s">
        <v>3</v>
      </c>
      <c r="D22" s="13">
        <v>10</v>
      </c>
      <c r="E22" s="13">
        <v>10</v>
      </c>
      <c r="F22" s="13">
        <v>4</v>
      </c>
      <c r="G22" s="13">
        <v>16</v>
      </c>
      <c r="H22" s="14">
        <v>3349.8</v>
      </c>
      <c r="I22" s="14">
        <v>1429.25</v>
      </c>
      <c r="J22" s="14">
        <v>5359.68</v>
      </c>
    </row>
    <row r="23" spans="1:10" ht="10.7" customHeight="1" x14ac:dyDescent="0.15">
      <c r="A23" s="12" t="s">
        <v>37</v>
      </c>
      <c r="B23" s="12" t="s">
        <v>38</v>
      </c>
      <c r="C23" s="12" t="s">
        <v>3</v>
      </c>
      <c r="D23" s="13">
        <v>6</v>
      </c>
      <c r="E23" s="13">
        <v>6</v>
      </c>
      <c r="F23" s="13">
        <v>1</v>
      </c>
      <c r="G23" s="13">
        <v>11</v>
      </c>
      <c r="H23" s="14">
        <v>5227.9799999999996</v>
      </c>
      <c r="I23" s="14">
        <v>929.41</v>
      </c>
      <c r="J23" s="14">
        <v>9584.6299999999992</v>
      </c>
    </row>
    <row r="24" spans="1:10" ht="10.7" customHeight="1" x14ac:dyDescent="0.15">
      <c r="A24" s="12" t="s">
        <v>39</v>
      </c>
      <c r="B24" s="12" t="s">
        <v>40</v>
      </c>
      <c r="C24" s="12" t="s">
        <v>3</v>
      </c>
      <c r="D24" s="13">
        <v>10</v>
      </c>
      <c r="E24" s="13">
        <v>0</v>
      </c>
      <c r="F24" s="13">
        <v>0</v>
      </c>
      <c r="G24" s="13">
        <v>10</v>
      </c>
      <c r="H24" s="14">
        <v>0</v>
      </c>
      <c r="I24" s="14">
        <v>0</v>
      </c>
      <c r="J24" s="14">
        <v>10251.4</v>
      </c>
    </row>
    <row r="25" spans="1:10" ht="10.7" customHeight="1" x14ac:dyDescent="0.15">
      <c r="A25" s="12" t="s">
        <v>41</v>
      </c>
      <c r="B25" s="12" t="s">
        <v>42</v>
      </c>
      <c r="C25" s="12" t="s">
        <v>13</v>
      </c>
      <c r="D25" s="13">
        <v>39</v>
      </c>
      <c r="E25" s="13">
        <v>10</v>
      </c>
      <c r="F25" s="13">
        <v>8</v>
      </c>
      <c r="G25" s="13">
        <v>41</v>
      </c>
      <c r="H25" s="14">
        <v>3813.3</v>
      </c>
      <c r="I25" s="14">
        <v>1694.88</v>
      </c>
      <c r="J25" s="14">
        <v>15530.64</v>
      </c>
    </row>
    <row r="26" spans="1:10" ht="10.7" customHeight="1" x14ac:dyDescent="0.15">
      <c r="A26" s="12" t="s">
        <v>43</v>
      </c>
      <c r="B26" s="12" t="s">
        <v>44</v>
      </c>
      <c r="C26" s="12" t="s">
        <v>10</v>
      </c>
      <c r="D26" s="13">
        <v>0</v>
      </c>
      <c r="E26" s="13">
        <v>10</v>
      </c>
      <c r="F26" s="13">
        <v>0</v>
      </c>
      <c r="G26" s="13">
        <v>10</v>
      </c>
      <c r="H26" s="14">
        <v>1215.5</v>
      </c>
      <c r="I26" s="14">
        <v>0</v>
      </c>
      <c r="J26" s="14">
        <v>1215.5</v>
      </c>
    </row>
    <row r="27" spans="1:10" ht="10.7" customHeight="1" x14ac:dyDescent="0.15">
      <c r="A27" s="12" t="s">
        <v>45</v>
      </c>
      <c r="B27" s="12" t="s">
        <v>46</v>
      </c>
      <c r="C27" s="12" t="s">
        <v>10</v>
      </c>
      <c r="D27" s="13">
        <v>10</v>
      </c>
      <c r="E27" s="13">
        <v>0</v>
      </c>
      <c r="F27" s="13">
        <v>0</v>
      </c>
      <c r="G27" s="13">
        <v>10</v>
      </c>
      <c r="H27" s="14">
        <v>0</v>
      </c>
      <c r="I27" s="14">
        <v>0</v>
      </c>
      <c r="J27" s="14">
        <v>1467.4</v>
      </c>
    </row>
    <row r="28" spans="1:10" ht="10.7" customHeight="1" x14ac:dyDescent="0.15">
      <c r="A28" s="12" t="s">
        <v>47</v>
      </c>
      <c r="B28" s="12" t="s">
        <v>48</v>
      </c>
      <c r="C28" s="12" t="s">
        <v>3</v>
      </c>
      <c r="D28" s="13">
        <v>7</v>
      </c>
      <c r="E28" s="13">
        <v>0</v>
      </c>
      <c r="F28" s="13">
        <v>1</v>
      </c>
      <c r="G28" s="13">
        <v>6</v>
      </c>
      <c r="H28" s="14">
        <v>0</v>
      </c>
      <c r="I28" s="14">
        <v>356.67</v>
      </c>
      <c r="J28" s="14">
        <v>2006.28</v>
      </c>
    </row>
    <row r="29" spans="1:10" ht="10.7" customHeight="1" x14ac:dyDescent="0.15">
      <c r="A29" s="12" t="s">
        <v>49</v>
      </c>
      <c r="B29" s="12" t="s">
        <v>50</v>
      </c>
      <c r="C29" s="12" t="s">
        <v>3</v>
      </c>
      <c r="D29" s="13">
        <v>20</v>
      </c>
      <c r="E29" s="13">
        <v>0</v>
      </c>
      <c r="F29" s="13">
        <v>0</v>
      </c>
      <c r="G29" s="13">
        <v>20</v>
      </c>
      <c r="H29" s="14">
        <v>0</v>
      </c>
      <c r="I29" s="14">
        <v>0</v>
      </c>
      <c r="J29" s="14">
        <v>2685.3</v>
      </c>
    </row>
    <row r="30" spans="1:10" ht="10.7" customHeight="1" x14ac:dyDescent="0.15">
      <c r="A30" s="12" t="s">
        <v>51</v>
      </c>
      <c r="B30" s="12" t="s">
        <v>52</v>
      </c>
      <c r="C30" s="12" t="s">
        <v>13</v>
      </c>
      <c r="D30" s="13">
        <v>87</v>
      </c>
      <c r="E30" s="13">
        <v>140</v>
      </c>
      <c r="F30" s="13">
        <v>62</v>
      </c>
      <c r="G30" s="13">
        <v>165</v>
      </c>
      <c r="H30" s="14">
        <v>31439.8</v>
      </c>
      <c r="I30" s="14">
        <v>14905.74</v>
      </c>
      <c r="J30" s="14">
        <v>37054.050000000003</v>
      </c>
    </row>
    <row r="31" spans="1:10" ht="10.7" customHeight="1" x14ac:dyDescent="0.15">
      <c r="A31" s="12" t="s">
        <v>53</v>
      </c>
      <c r="B31" s="12" t="s">
        <v>54</v>
      </c>
      <c r="C31" s="12" t="s">
        <v>3</v>
      </c>
      <c r="D31" s="13">
        <v>19</v>
      </c>
      <c r="E31" s="13">
        <v>10</v>
      </c>
      <c r="F31" s="13">
        <v>16</v>
      </c>
      <c r="G31" s="13">
        <v>13</v>
      </c>
      <c r="H31" s="14">
        <v>811.2</v>
      </c>
      <c r="I31" s="14">
        <v>1399.71</v>
      </c>
      <c r="J31" s="14">
        <v>1054.56</v>
      </c>
    </row>
    <row r="32" spans="1:10" ht="10.7" customHeight="1" x14ac:dyDescent="0.15">
      <c r="A32" s="12" t="s">
        <v>55</v>
      </c>
      <c r="B32" s="12" t="s">
        <v>56</v>
      </c>
      <c r="C32" s="12" t="s">
        <v>10</v>
      </c>
      <c r="D32" s="13">
        <v>10</v>
      </c>
      <c r="E32" s="13">
        <v>0</v>
      </c>
      <c r="F32" s="13">
        <v>0</v>
      </c>
      <c r="G32" s="13">
        <v>10</v>
      </c>
      <c r="H32" s="14">
        <v>0</v>
      </c>
      <c r="I32" s="14">
        <v>0</v>
      </c>
      <c r="J32" s="14">
        <v>1324.4</v>
      </c>
    </row>
    <row r="33" spans="1:10" ht="10.7" customHeight="1" x14ac:dyDescent="0.15">
      <c r="A33" s="12" t="s">
        <v>57</v>
      </c>
      <c r="B33" s="12" t="s">
        <v>58</v>
      </c>
      <c r="C33" s="12" t="s">
        <v>13</v>
      </c>
      <c r="D33" s="13">
        <v>28</v>
      </c>
      <c r="E33" s="13">
        <v>0</v>
      </c>
      <c r="F33" s="13">
        <v>18</v>
      </c>
      <c r="G33" s="13">
        <v>10</v>
      </c>
      <c r="H33" s="14">
        <v>0</v>
      </c>
      <c r="I33" s="14">
        <v>2395.62</v>
      </c>
      <c r="J33" s="14">
        <v>1238.4000000000001</v>
      </c>
    </row>
    <row r="34" spans="1:10" ht="10.7" customHeight="1" x14ac:dyDescent="0.15">
      <c r="A34" s="12" t="s">
        <v>59</v>
      </c>
      <c r="B34" s="12" t="s">
        <v>60</v>
      </c>
      <c r="C34" s="12" t="s">
        <v>13</v>
      </c>
      <c r="D34" s="13">
        <v>69</v>
      </c>
      <c r="E34" s="13">
        <v>70</v>
      </c>
      <c r="F34" s="13">
        <v>58</v>
      </c>
      <c r="G34" s="13">
        <v>81</v>
      </c>
      <c r="H34" s="14">
        <v>6236.75</v>
      </c>
      <c r="I34" s="14">
        <v>5538.29</v>
      </c>
      <c r="J34" s="14">
        <v>7218.06</v>
      </c>
    </row>
    <row r="35" spans="1:10" ht="10.7" customHeight="1" x14ac:dyDescent="0.15">
      <c r="A35" s="15" t="s">
        <v>61</v>
      </c>
      <c r="B35" s="15"/>
      <c r="C35" s="15"/>
      <c r="D35" s="16">
        <f>SUM(J35,I35,H35*-1)</f>
        <v>134110.25999999995</v>
      </c>
      <c r="E35" s="16"/>
      <c r="F35" s="16"/>
      <c r="G35" s="16"/>
      <c r="H35" s="17">
        <f>SUM(H7:H34)</f>
        <v>150399.33000000002</v>
      </c>
      <c r="I35" s="17">
        <f>SUM(I7:I34)</f>
        <v>91035.12</v>
      </c>
      <c r="J35" s="17">
        <f>SUM(J7:J34)</f>
        <v>193474.46999999997</v>
      </c>
    </row>
    <row r="36" spans="1:10" ht="10.7" customHeight="1" x14ac:dyDescent="0.15">
      <c r="A36" s="9" t="s">
        <v>62</v>
      </c>
      <c r="B36" s="9"/>
      <c r="C36" s="9"/>
      <c r="D36" s="10"/>
      <c r="E36" s="10"/>
      <c r="F36" s="10"/>
      <c r="G36" s="10"/>
      <c r="H36" s="11"/>
      <c r="I36" s="11"/>
      <c r="J36" s="11"/>
    </row>
    <row r="37" spans="1:10" ht="10.7" customHeight="1" x14ac:dyDescent="0.15">
      <c r="A37" s="12" t="s">
        <v>63</v>
      </c>
      <c r="B37" s="12" t="s">
        <v>64</v>
      </c>
      <c r="C37" s="12" t="s">
        <v>3</v>
      </c>
      <c r="D37" s="13">
        <v>11</v>
      </c>
      <c r="E37" s="13">
        <v>30</v>
      </c>
      <c r="F37" s="13">
        <v>9</v>
      </c>
      <c r="G37" s="13">
        <v>32</v>
      </c>
      <c r="H37" s="14">
        <v>7318.5</v>
      </c>
      <c r="I37" s="14">
        <v>2358.23</v>
      </c>
      <c r="J37" s="14">
        <v>7806.4</v>
      </c>
    </row>
    <row r="38" spans="1:10" ht="10.7" customHeight="1" x14ac:dyDescent="0.15">
      <c r="A38" s="12" t="s">
        <v>65</v>
      </c>
      <c r="B38" s="12" t="s">
        <v>66</v>
      </c>
      <c r="C38" s="12" t="s">
        <v>3</v>
      </c>
      <c r="D38" s="13">
        <v>20</v>
      </c>
      <c r="E38" s="13">
        <v>10</v>
      </c>
      <c r="F38" s="13">
        <v>9</v>
      </c>
      <c r="G38" s="13">
        <v>21</v>
      </c>
      <c r="H38" s="14">
        <v>4001.8</v>
      </c>
      <c r="I38" s="14">
        <v>3859.46</v>
      </c>
      <c r="J38" s="14">
        <v>8403.7800000000007</v>
      </c>
    </row>
    <row r="39" spans="1:10" ht="10.7" customHeight="1" x14ac:dyDescent="0.15">
      <c r="A39" s="12" t="s">
        <v>67</v>
      </c>
      <c r="B39" s="12" t="s">
        <v>68</v>
      </c>
      <c r="C39" s="12" t="s">
        <v>3</v>
      </c>
      <c r="D39" s="13">
        <v>18</v>
      </c>
      <c r="E39" s="13">
        <v>0</v>
      </c>
      <c r="F39" s="13">
        <v>7</v>
      </c>
      <c r="G39" s="13">
        <v>11</v>
      </c>
      <c r="H39" s="14">
        <v>0</v>
      </c>
      <c r="I39" s="14">
        <v>2218.1799999999998</v>
      </c>
      <c r="J39" s="14">
        <v>3253.36</v>
      </c>
    </row>
    <row r="40" spans="1:10" ht="10.7" customHeight="1" x14ac:dyDescent="0.15">
      <c r="A40" s="15" t="s">
        <v>69</v>
      </c>
      <c r="B40" s="15"/>
      <c r="C40" s="15"/>
      <c r="D40" s="16">
        <f>SUM(J40,I40,H40*-1)</f>
        <v>16579.110000000004</v>
      </c>
      <c r="E40" s="16"/>
      <c r="F40" s="16"/>
      <c r="G40" s="16"/>
      <c r="H40" s="17">
        <f>SUM(H37:H39)</f>
        <v>11320.3</v>
      </c>
      <c r="I40" s="17">
        <f>SUM(I37:I39)</f>
        <v>8435.8700000000008</v>
      </c>
      <c r="J40" s="17">
        <f>SUM(J37:J39)</f>
        <v>19463.54</v>
      </c>
    </row>
    <row r="41" spans="1:10" ht="10.7" customHeight="1" x14ac:dyDescent="0.15">
      <c r="A41" s="18"/>
      <c r="B41" s="18" t="s">
        <v>70</v>
      </c>
      <c r="C41" s="18"/>
      <c r="D41" s="19">
        <v>150689.36999999997</v>
      </c>
      <c r="E41" s="19">
        <v>0</v>
      </c>
      <c r="F41" s="19">
        <v>0</v>
      </c>
      <c r="G41" s="19">
        <v>0</v>
      </c>
      <c r="H41" s="20">
        <v>161719.63</v>
      </c>
      <c r="I41" s="20">
        <v>99470.989999999991</v>
      </c>
      <c r="J41" s="20">
        <v>212938.00999999998</v>
      </c>
    </row>
  </sheetData>
  <mergeCells count="6">
    <mergeCell ref="A1:J1"/>
    <mergeCell ref="A2:J2"/>
    <mergeCell ref="A3:J3"/>
    <mergeCell ref="A4:J4"/>
    <mergeCell ref="A6:J6"/>
    <mergeCell ref="A36:J36"/>
  </mergeCells>
  <printOptions horizontalCentered="1"/>
  <pageMargins left="0" right="0" top="0" bottom="0.2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and Sale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user13</dc:creator>
  <cp:lastModifiedBy>user13</cp:lastModifiedBy>
  <dcterms:created xsi:type="dcterms:W3CDTF">2026-08-03T10:10:52Z</dcterms:created>
  <dcterms:modified xsi:type="dcterms:W3CDTF">2026-08-03T10:11:09Z</dcterms:modified>
</cp:coreProperties>
</file>