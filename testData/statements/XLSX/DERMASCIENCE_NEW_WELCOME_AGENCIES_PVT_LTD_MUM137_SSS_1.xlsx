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khar\Desktop\"/>
    </mc:Choice>
  </mc:AlternateContent>
  <bookViews>
    <workbookView xWindow="0" yWindow="0" windowWidth="15360" windowHeight="9675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4" i="1" l="1"/>
  <c r="I54" i="1"/>
  <c r="H54" i="1"/>
  <c r="J39" i="1"/>
  <c r="I39" i="1"/>
  <c r="H39" i="1"/>
  <c r="J36" i="1"/>
  <c r="I36" i="1"/>
  <c r="H36" i="1"/>
  <c r="J32" i="1"/>
  <c r="I32" i="1"/>
  <c r="H32" i="1"/>
  <c r="J29" i="1"/>
  <c r="I29" i="1"/>
  <c r="H29" i="1"/>
  <c r="J26" i="1"/>
  <c r="I26" i="1"/>
  <c r="H26" i="1"/>
  <c r="J22" i="1"/>
  <c r="I22" i="1"/>
  <c r="H22" i="1"/>
  <c r="J10" i="1"/>
  <c r="I10" i="1"/>
  <c r="H10" i="1"/>
</calcChain>
</file>

<file path=xl/sharedStrings.xml><?xml version="1.0" encoding="utf-8"?>
<sst xmlns="http://schemas.openxmlformats.org/spreadsheetml/2006/main" count="130" uniqueCount="110">
  <si>
    <t>CAPSULES</t>
  </si>
  <si>
    <t>97205</t>
  </si>
  <si>
    <t>CYCLONOX 100MG CAP</t>
  </si>
  <si>
    <t>5CAP</t>
  </si>
  <si>
    <t>94917</t>
  </si>
  <si>
    <t>DOSIL 500MG CAP</t>
  </si>
  <si>
    <t>10CAP</t>
  </si>
  <si>
    <t>84459</t>
  </si>
  <si>
    <t>IBITRA 100MG CAP</t>
  </si>
  <si>
    <t>Total Value (CAPSULES)</t>
  </si>
  <si>
    <t>CREAM</t>
  </si>
  <si>
    <t>92814</t>
  </si>
  <si>
    <t>ACTIVE MF MOISTURISING CREAM</t>
  </si>
  <si>
    <t>100GM</t>
  </si>
  <si>
    <t>2372</t>
  </si>
  <si>
    <t>EBERNET CREAM</t>
  </si>
  <si>
    <t>15GM</t>
  </si>
  <si>
    <t>64687</t>
  </si>
  <si>
    <t>30GM</t>
  </si>
  <si>
    <t>71728</t>
  </si>
  <si>
    <t>60GM</t>
  </si>
  <si>
    <t>80814</t>
  </si>
  <si>
    <t>EBERNET LOT CREAM</t>
  </si>
  <si>
    <t>40GM</t>
  </si>
  <si>
    <t>49415</t>
  </si>
  <si>
    <t>EBERNET M CREAM</t>
  </si>
  <si>
    <t>89013</t>
  </si>
  <si>
    <t>EBERNET PLUS CREAM</t>
  </si>
  <si>
    <t>103921</t>
  </si>
  <si>
    <t>KC LITE GOLD CREAM</t>
  </si>
  <si>
    <t>20GM</t>
  </si>
  <si>
    <t>85346</t>
  </si>
  <si>
    <t>MOIMAX OC CREAM</t>
  </si>
  <si>
    <t>75GM</t>
  </si>
  <si>
    <t>95702</t>
  </si>
  <si>
    <t>OXYTAN CREAM</t>
  </si>
  <si>
    <t>50GM</t>
  </si>
  <si>
    <t>Total Value (CREAM)</t>
  </si>
  <si>
    <t>GEL</t>
  </si>
  <si>
    <t>77148</t>
  </si>
  <si>
    <t>ADAPERO GEL</t>
  </si>
  <si>
    <t>95560</t>
  </si>
  <si>
    <t>VMELA GEL</t>
  </si>
  <si>
    <t>Total Value (GEL)</t>
  </si>
  <si>
    <t>HAIR SERUM</t>
  </si>
  <si>
    <t>97784</t>
  </si>
  <si>
    <t>KERAGRIS SERUM</t>
  </si>
  <si>
    <t>60ML</t>
  </si>
  <si>
    <t>Total Value (HAIR SERUM)</t>
  </si>
  <si>
    <t>LOTIONS</t>
  </si>
  <si>
    <t>102338</t>
  </si>
  <si>
    <t>ACTIVE MF LOTION</t>
  </si>
  <si>
    <t>200ML</t>
  </si>
  <si>
    <t>Total Value (LOTIONS)</t>
  </si>
  <si>
    <t>SOAP</t>
  </si>
  <si>
    <t>94437</t>
  </si>
  <si>
    <t>ACTIVE MF SOAP</t>
  </si>
  <si>
    <t>120557</t>
  </si>
  <si>
    <t>HIKIDZ BATHING BAR</t>
  </si>
  <si>
    <t>Total Value (SOAP)</t>
  </si>
  <si>
    <t>SOLUTION</t>
  </si>
  <si>
    <t>117052</t>
  </si>
  <si>
    <t>KERAGRIS MFR SOLUTION</t>
  </si>
  <si>
    <t>Total Value (SOLUTION)</t>
  </si>
  <si>
    <t>TABLETS</t>
  </si>
  <si>
    <t>92519</t>
  </si>
  <si>
    <t>APRENEXT 30MG TAB</t>
  </si>
  <si>
    <t>10TAB</t>
  </si>
  <si>
    <t>76929</t>
  </si>
  <si>
    <t>BILAZO 20MG TAB</t>
  </si>
  <si>
    <t>105903</t>
  </si>
  <si>
    <t>BILAZO 40MG TAB</t>
  </si>
  <si>
    <t>121189</t>
  </si>
  <si>
    <t>KEROFA COMBIKIT</t>
  </si>
  <si>
    <t>1KIT</t>
  </si>
  <si>
    <t>123806</t>
  </si>
  <si>
    <t>RDL 10MG TAB</t>
  </si>
  <si>
    <t>19478</t>
  </si>
  <si>
    <t>TRIEXER 1MG TAB</t>
  </si>
  <si>
    <t>19479</t>
  </si>
  <si>
    <t>TRIEXER 2MG TAB</t>
  </si>
  <si>
    <t>1328</t>
  </si>
  <si>
    <t>VYSOV 50MG TAB</t>
  </si>
  <si>
    <t>15TAB</t>
  </si>
  <si>
    <t>101415</t>
  </si>
  <si>
    <t>VYSOV D 100/5MG TAB</t>
  </si>
  <si>
    <t>98512</t>
  </si>
  <si>
    <t>VYSOV D 100MG/10MG TAB</t>
  </si>
  <si>
    <t>53507</t>
  </si>
  <si>
    <t>VYSOV M 50MG/1000MG TAB</t>
  </si>
  <si>
    <t>53506</t>
  </si>
  <si>
    <t>VYSOV M 50MG/500MG TAB</t>
  </si>
  <si>
    <t>93039</t>
  </si>
  <si>
    <t>VYSOV XR 100MG TAB</t>
  </si>
  <si>
    <t>Total Value (TABLETS)</t>
  </si>
  <si>
    <t>Total</t>
  </si>
  <si>
    <t>NEW WELCOME AGENCIES PRIVATE LIMITED</t>
  </si>
  <si>
    <t>TENEMENT NO. 2/7,2/8,2/9,2/10, GRD AND FIRST FLOOR SWEEPERS COLONY,MOTILAL NAGAR NO-1,GOREGOAN WEST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</si>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</sst>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97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98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99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100</v>
      </c>
      <c r="B5" s="6" t="s">
        <v>101</v>
      </c>
      <c r="C5" s="6" t="s">
        <v>102</v>
      </c>
      <c r="D5" s="7" t="s">
        <v>103</v>
      </c>
      <c r="E5" s="7" t="s">
        <v>104</v>
      </c>
      <c r="F5" s="7" t="s">
        <v>105</v>
      </c>
      <c r="G5" s="7" t="s">
        <v>106</v>
      </c>
      <c r="H5" s="8" t="s">
        <v>107</v>
      </c>
      <c r="I5" s="8" t="s">
        <v>108</v>
      </c>
      <c r="J5" s="8" t="s">
        <v>109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12</v>
      </c>
      <c r="E7" s="13">
        <v>0</v>
      </c>
      <c r="F7" s="13">
        <v>0</v>
      </c>
      <c r="G7" s="13">
        <v>12</v>
      </c>
      <c r="H7" s="14">
        <v>0</v>
      </c>
      <c r="I7" s="14">
        <v>0</v>
      </c>
      <c r="J7" s="14">
        <v>4524.12</v>
      </c>
    </row>
    <row r="8" spans="1:10" ht="10.7" customHeight="1" x14ac:dyDescent="0.15">
      <c r="A8" s="12" t="s">
        <v>4</v>
      </c>
      <c r="B8" s="12" t="s">
        <v>5</v>
      </c>
      <c r="C8" s="12" t="s">
        <v>6</v>
      </c>
      <c r="D8" s="13">
        <v>9</v>
      </c>
      <c r="E8" s="13">
        <v>0</v>
      </c>
      <c r="F8" s="13">
        <v>0</v>
      </c>
      <c r="G8" s="13">
        <v>9</v>
      </c>
      <c r="H8" s="14">
        <v>0</v>
      </c>
      <c r="I8" s="14">
        <v>0</v>
      </c>
      <c r="J8" s="14">
        <v>1023.84</v>
      </c>
    </row>
    <row r="9" spans="1:10" ht="10.7" customHeight="1" x14ac:dyDescent="0.15">
      <c r="A9" s="12" t="s">
        <v>7</v>
      </c>
      <c r="B9" s="12" t="s">
        <v>8</v>
      </c>
      <c r="C9" s="12" t="s">
        <v>6</v>
      </c>
      <c r="D9" s="13">
        <v>10</v>
      </c>
      <c r="E9" s="13">
        <v>0</v>
      </c>
      <c r="F9" s="13">
        <v>10</v>
      </c>
      <c r="G9" s="13">
        <v>0</v>
      </c>
      <c r="H9" s="14">
        <v>0</v>
      </c>
      <c r="I9" s="14">
        <v>1220.5999999999999</v>
      </c>
      <c r="J9" s="14">
        <v>0</v>
      </c>
    </row>
    <row r="10" spans="1:10" ht="10.7" customHeight="1" x14ac:dyDescent="0.15">
      <c r="A10" s="15" t="s">
        <v>9</v>
      </c>
      <c r="B10" s="15"/>
      <c r="C10" s="15"/>
      <c r="D10" s="16">
        <v>6768.56</v>
      </c>
      <c r="E10" s="16"/>
      <c r="F10" s="16"/>
      <c r="G10" s="16"/>
      <c r="H10" s="17">
        <f>SUM(H7:H9)</f>
        <v>0</v>
      </c>
      <c r="I10" s="17">
        <f>SUM(I7:I9)</f>
        <v>1220.5999999999999</v>
      </c>
      <c r="J10" s="17">
        <f>SUM(J7:J9)</f>
        <v>5547.96</v>
      </c>
    </row>
    <row r="11" spans="1:10" ht="10.7" customHeight="1" x14ac:dyDescent="0.15">
      <c r="A11" s="9" t="s">
        <v>10</v>
      </c>
      <c r="B11" s="9"/>
      <c r="C11" s="9"/>
      <c r="D11" s="10"/>
      <c r="E11" s="10"/>
      <c r="F11" s="10"/>
      <c r="G11" s="10"/>
      <c r="H11" s="11"/>
      <c r="I11" s="11"/>
      <c r="J11" s="11"/>
    </row>
    <row r="12" spans="1:10" ht="10.7" customHeight="1" x14ac:dyDescent="0.15">
      <c r="A12" s="12" t="s">
        <v>11</v>
      </c>
      <c r="B12" s="12" t="s">
        <v>12</v>
      </c>
      <c r="C12" s="12" t="s">
        <v>13</v>
      </c>
      <c r="D12" s="13">
        <v>10</v>
      </c>
      <c r="E12" s="13">
        <v>0</v>
      </c>
      <c r="F12" s="13">
        <v>8</v>
      </c>
      <c r="G12" s="13">
        <v>2</v>
      </c>
      <c r="H12" s="14">
        <v>0</v>
      </c>
      <c r="I12" s="14">
        <v>2108.7199999999998</v>
      </c>
      <c r="J12" s="14">
        <v>527.17999999999995</v>
      </c>
    </row>
    <row r="13" spans="1:10" ht="10.7" customHeight="1" x14ac:dyDescent="0.15">
      <c r="A13" s="12" t="s">
        <v>14</v>
      </c>
      <c r="B13" s="12" t="s">
        <v>15</v>
      </c>
      <c r="C13" s="12" t="s">
        <v>16</v>
      </c>
      <c r="D13" s="13">
        <v>56</v>
      </c>
      <c r="E13" s="13">
        <v>12</v>
      </c>
      <c r="F13" s="13">
        <v>26</v>
      </c>
      <c r="G13" s="13">
        <v>42</v>
      </c>
      <c r="H13" s="14">
        <v>2927.4</v>
      </c>
      <c r="I13" s="14">
        <v>6342.7</v>
      </c>
      <c r="J13" s="14">
        <v>10245.9</v>
      </c>
    </row>
    <row r="14" spans="1:10" ht="10.7" customHeight="1" x14ac:dyDescent="0.15">
      <c r="A14" s="12" t="s">
        <v>17</v>
      </c>
      <c r="B14" s="12" t="s">
        <v>15</v>
      </c>
      <c r="C14" s="12" t="s">
        <v>18</v>
      </c>
      <c r="D14" s="13">
        <v>63</v>
      </c>
      <c r="E14" s="13">
        <v>96</v>
      </c>
      <c r="F14" s="13">
        <v>75</v>
      </c>
      <c r="G14" s="13">
        <v>84</v>
      </c>
      <c r="H14" s="14">
        <v>38417.279999999999</v>
      </c>
      <c r="I14" s="14">
        <v>30013.5</v>
      </c>
      <c r="J14" s="14">
        <v>33615.120000000003</v>
      </c>
    </row>
    <row r="15" spans="1:10" ht="10.7" customHeight="1" x14ac:dyDescent="0.15">
      <c r="A15" s="12" t="s">
        <v>19</v>
      </c>
      <c r="B15" s="12" t="s">
        <v>15</v>
      </c>
      <c r="C15" s="12" t="s">
        <v>20</v>
      </c>
      <c r="D15" s="13">
        <v>31</v>
      </c>
      <c r="E15" s="13">
        <v>24</v>
      </c>
      <c r="F15" s="13">
        <v>27</v>
      </c>
      <c r="G15" s="13">
        <v>28</v>
      </c>
      <c r="H15" s="14">
        <v>16276.92</v>
      </c>
      <c r="I15" s="14">
        <v>17439.57</v>
      </c>
      <c r="J15" s="14">
        <v>18860.560000000001</v>
      </c>
    </row>
    <row r="16" spans="1:10" ht="10.7" customHeight="1" x14ac:dyDescent="0.15">
      <c r="A16" s="12" t="s">
        <v>21</v>
      </c>
      <c r="B16" s="12" t="s">
        <v>22</v>
      </c>
      <c r="C16" s="12" t="s">
        <v>23</v>
      </c>
      <c r="D16" s="13">
        <v>9</v>
      </c>
      <c r="E16" s="13">
        <v>10</v>
      </c>
      <c r="F16" s="13">
        <v>8</v>
      </c>
      <c r="G16" s="13">
        <v>11</v>
      </c>
      <c r="H16" s="14">
        <v>4835.8999999999996</v>
      </c>
      <c r="I16" s="14">
        <v>3868.72</v>
      </c>
      <c r="J16" s="14">
        <v>5319.49</v>
      </c>
    </row>
    <row r="17" spans="1:10" ht="10.7" customHeight="1" x14ac:dyDescent="0.15">
      <c r="A17" s="12" t="s">
        <v>24</v>
      </c>
      <c r="B17" s="12" t="s">
        <v>25</v>
      </c>
      <c r="C17" s="12" t="s">
        <v>16</v>
      </c>
      <c r="D17" s="13">
        <v>49</v>
      </c>
      <c r="E17" s="13">
        <v>48</v>
      </c>
      <c r="F17" s="13">
        <v>65</v>
      </c>
      <c r="G17" s="13">
        <v>32</v>
      </c>
      <c r="H17" s="14">
        <v>14196.48</v>
      </c>
      <c r="I17" s="14">
        <v>19224.400000000001</v>
      </c>
      <c r="J17" s="14">
        <v>9464.32</v>
      </c>
    </row>
    <row r="18" spans="1:10" ht="10.7" customHeight="1" x14ac:dyDescent="0.15">
      <c r="A18" s="12" t="s">
        <v>26</v>
      </c>
      <c r="B18" s="12" t="s">
        <v>27</v>
      </c>
      <c r="C18" s="12" t="s">
        <v>18</v>
      </c>
      <c r="D18" s="13">
        <v>36</v>
      </c>
      <c r="E18" s="13">
        <v>0</v>
      </c>
      <c r="F18" s="13">
        <v>20</v>
      </c>
      <c r="G18" s="13">
        <v>16</v>
      </c>
      <c r="H18" s="14">
        <v>0</v>
      </c>
      <c r="I18" s="14">
        <v>8004.8</v>
      </c>
      <c r="J18" s="14">
        <v>6403.84</v>
      </c>
    </row>
    <row r="19" spans="1:10" ht="10.7" customHeight="1" x14ac:dyDescent="0.15">
      <c r="A19" s="12" t="s">
        <v>28</v>
      </c>
      <c r="B19" s="12" t="s">
        <v>29</v>
      </c>
      <c r="C19" s="12" t="s">
        <v>30</v>
      </c>
      <c r="D19" s="13">
        <v>6</v>
      </c>
      <c r="E19" s="13">
        <v>10</v>
      </c>
      <c r="F19" s="13">
        <v>9</v>
      </c>
      <c r="G19" s="13">
        <v>7</v>
      </c>
      <c r="H19" s="14">
        <v>3349.8</v>
      </c>
      <c r="I19" s="14">
        <v>3014.82</v>
      </c>
      <c r="J19" s="14">
        <v>2344.86</v>
      </c>
    </row>
    <row r="20" spans="1:10" ht="10.7" customHeight="1" x14ac:dyDescent="0.15">
      <c r="A20" s="12" t="s">
        <v>31</v>
      </c>
      <c r="B20" s="12" t="s">
        <v>32</v>
      </c>
      <c r="C20" s="12" t="s">
        <v>33</v>
      </c>
      <c r="D20" s="13">
        <v>10</v>
      </c>
      <c r="E20" s="13">
        <v>0</v>
      </c>
      <c r="F20" s="13">
        <v>0</v>
      </c>
      <c r="G20" s="13">
        <v>10</v>
      </c>
      <c r="H20" s="14">
        <v>0</v>
      </c>
      <c r="I20" s="14">
        <v>0</v>
      </c>
      <c r="J20" s="14">
        <v>3478</v>
      </c>
    </row>
    <row r="21" spans="1:10" ht="10.7" customHeight="1" x14ac:dyDescent="0.15">
      <c r="A21" s="12" t="s">
        <v>34</v>
      </c>
      <c r="B21" s="12" t="s">
        <v>35</v>
      </c>
      <c r="C21" s="12" t="s">
        <v>36</v>
      </c>
      <c r="D21" s="13">
        <v>10</v>
      </c>
      <c r="E21" s="13">
        <v>0</v>
      </c>
      <c r="F21" s="13">
        <v>5</v>
      </c>
      <c r="G21" s="13">
        <v>5</v>
      </c>
      <c r="H21" s="14">
        <v>0</v>
      </c>
      <c r="I21" s="14">
        <v>2730.5</v>
      </c>
      <c r="J21" s="14">
        <v>2730.5</v>
      </c>
    </row>
    <row r="22" spans="1:10" ht="10.7" customHeight="1" x14ac:dyDescent="0.15">
      <c r="A22" s="15" t="s">
        <v>37</v>
      </c>
      <c r="B22" s="15"/>
      <c r="C22" s="15"/>
      <c r="D22" s="16">
        <v>107072.36</v>
      </c>
      <c r="E22" s="16"/>
      <c r="F22" s="16"/>
      <c r="G22" s="16"/>
      <c r="H22" s="17">
        <f>SUM(H12:H21)</f>
        <v>80003.78</v>
      </c>
      <c r="I22" s="17">
        <f>SUM(I12:I21)</f>
        <v>92747.73000000001</v>
      </c>
      <c r="J22" s="17">
        <f>SUM(J12:J21)</f>
        <v>92989.77</v>
      </c>
    </row>
    <row r="23" spans="1:10" ht="10.7" customHeight="1" x14ac:dyDescent="0.15">
      <c r="A23" s="9" t="s">
        <v>38</v>
      </c>
      <c r="B23" s="9"/>
      <c r="C23" s="9"/>
      <c r="D23" s="10"/>
      <c r="E23" s="10"/>
      <c r="F23" s="10"/>
      <c r="G23" s="10"/>
      <c r="H23" s="11"/>
      <c r="I23" s="11"/>
      <c r="J23" s="11"/>
    </row>
    <row r="24" spans="1:10" ht="10.7" customHeight="1" x14ac:dyDescent="0.15">
      <c r="A24" s="12" t="s">
        <v>39</v>
      </c>
      <c r="B24" s="12" t="s">
        <v>40</v>
      </c>
      <c r="C24" s="12" t="s">
        <v>16</v>
      </c>
      <c r="D24" s="13">
        <v>0</v>
      </c>
      <c r="E24" s="13">
        <v>10</v>
      </c>
      <c r="F24" s="13">
        <v>0</v>
      </c>
      <c r="G24" s="13">
        <v>10</v>
      </c>
      <c r="H24" s="14">
        <v>2526.1999999999998</v>
      </c>
      <c r="I24" s="14">
        <v>0</v>
      </c>
      <c r="J24" s="14">
        <v>2526.1999999999998</v>
      </c>
    </row>
    <row r="25" spans="1:10" ht="10.7" customHeight="1" x14ac:dyDescent="0.15">
      <c r="A25" s="12" t="s">
        <v>41</v>
      </c>
      <c r="B25" s="12" t="s">
        <v>42</v>
      </c>
      <c r="C25" s="12" t="s">
        <v>18</v>
      </c>
      <c r="D25" s="13">
        <v>0</v>
      </c>
      <c r="E25" s="13">
        <v>10</v>
      </c>
      <c r="F25" s="13">
        <v>0</v>
      </c>
      <c r="G25" s="13">
        <v>10</v>
      </c>
      <c r="H25" s="14">
        <v>2471.1999999999998</v>
      </c>
      <c r="I25" s="14">
        <v>0</v>
      </c>
      <c r="J25" s="14">
        <v>2471.1999999999998</v>
      </c>
    </row>
    <row r="26" spans="1:10" ht="10.7" customHeight="1" x14ac:dyDescent="0.15">
      <c r="A26" s="15" t="s">
        <v>43</v>
      </c>
      <c r="B26" s="15"/>
      <c r="C26" s="15"/>
      <c r="D26" s="16">
        <v>0</v>
      </c>
      <c r="E26" s="16"/>
      <c r="F26" s="16"/>
      <c r="G26" s="16"/>
      <c r="H26" s="17">
        <f>SUM(H24:H25)</f>
        <v>4997.3999999999996</v>
      </c>
      <c r="I26" s="17">
        <f>SUM(I24:I25)</f>
        <v>0</v>
      </c>
      <c r="J26" s="17">
        <f>SUM(J24:J25)</f>
        <v>4997.3999999999996</v>
      </c>
    </row>
    <row r="27" spans="1:10" ht="10.7" customHeight="1" x14ac:dyDescent="0.15">
      <c r="A27" s="9" t="s">
        <v>44</v>
      </c>
      <c r="B27" s="9"/>
      <c r="C27" s="9"/>
      <c r="D27" s="10"/>
      <c r="E27" s="10"/>
      <c r="F27" s="10"/>
      <c r="G27" s="10"/>
      <c r="H27" s="11"/>
      <c r="I27" s="11"/>
      <c r="J27" s="11"/>
    </row>
    <row r="28" spans="1:10" ht="10.7" customHeight="1" x14ac:dyDescent="0.15">
      <c r="A28" s="12" t="s">
        <v>45</v>
      </c>
      <c r="B28" s="12" t="s">
        <v>46</v>
      </c>
      <c r="C28" s="12" t="s">
        <v>47</v>
      </c>
      <c r="D28" s="13">
        <v>12</v>
      </c>
      <c r="E28" s="13">
        <v>0</v>
      </c>
      <c r="F28" s="13">
        <v>0</v>
      </c>
      <c r="G28" s="13">
        <v>12</v>
      </c>
      <c r="H28" s="14">
        <v>0</v>
      </c>
      <c r="I28" s="14">
        <v>0</v>
      </c>
      <c r="J28" s="14">
        <v>10455.959999999999</v>
      </c>
    </row>
    <row r="29" spans="1:10" ht="10.7" customHeight="1" x14ac:dyDescent="0.15">
      <c r="A29" s="15" t="s">
        <v>48</v>
      </c>
      <c r="B29" s="15"/>
      <c r="C29" s="15"/>
      <c r="D29" s="16">
        <v>10455.959999999999</v>
      </c>
      <c r="E29" s="16"/>
      <c r="F29" s="16"/>
      <c r="G29" s="16"/>
      <c r="H29" s="17">
        <f>SUM(H28:H28)</f>
        <v>0</v>
      </c>
      <c r="I29" s="17">
        <f>SUM(I28:I28)</f>
        <v>0</v>
      </c>
      <c r="J29" s="17">
        <f>SUM(J28:J28)</f>
        <v>10455.959999999999</v>
      </c>
    </row>
    <row r="30" spans="1:10" ht="10.7" customHeight="1" x14ac:dyDescent="0.15">
      <c r="A30" s="9" t="s">
        <v>49</v>
      </c>
      <c r="B30" s="9"/>
      <c r="C30" s="9"/>
      <c r="D30" s="10"/>
      <c r="E30" s="10"/>
      <c r="F30" s="10"/>
      <c r="G30" s="10"/>
      <c r="H30" s="11"/>
      <c r="I30" s="11"/>
      <c r="J30" s="11"/>
    </row>
    <row r="31" spans="1:10" ht="10.7" customHeight="1" x14ac:dyDescent="0.15">
      <c r="A31" s="12" t="s">
        <v>50</v>
      </c>
      <c r="B31" s="12" t="s">
        <v>51</v>
      </c>
      <c r="C31" s="12" t="s">
        <v>52</v>
      </c>
      <c r="D31" s="13">
        <v>10</v>
      </c>
      <c r="E31" s="13">
        <v>0</v>
      </c>
      <c r="F31" s="13">
        <v>5</v>
      </c>
      <c r="G31" s="13">
        <v>5</v>
      </c>
      <c r="H31" s="14">
        <v>0</v>
      </c>
      <c r="I31" s="14">
        <v>1995.25</v>
      </c>
      <c r="J31" s="14">
        <v>1995.25</v>
      </c>
    </row>
    <row r="32" spans="1:10" ht="10.7" customHeight="1" x14ac:dyDescent="0.15">
      <c r="A32" s="15" t="s">
        <v>53</v>
      </c>
      <c r="B32" s="15"/>
      <c r="C32" s="15"/>
      <c r="D32" s="16">
        <v>3990.5</v>
      </c>
      <c r="E32" s="16"/>
      <c r="F32" s="16"/>
      <c r="G32" s="16"/>
      <c r="H32" s="17">
        <f>SUM(H31:H31)</f>
        <v>0</v>
      </c>
      <c r="I32" s="17">
        <f>SUM(I31:I31)</f>
        <v>1995.25</v>
      </c>
      <c r="J32" s="17">
        <f>SUM(J31:J31)</f>
        <v>1995.25</v>
      </c>
    </row>
    <row r="33" spans="1:10" ht="10.7" customHeight="1" x14ac:dyDescent="0.15">
      <c r="A33" s="9" t="s">
        <v>54</v>
      </c>
      <c r="B33" s="9"/>
      <c r="C33" s="9"/>
      <c r="D33" s="10"/>
      <c r="E33" s="10"/>
      <c r="F33" s="10"/>
      <c r="G33" s="10"/>
      <c r="H33" s="11"/>
      <c r="I33" s="11"/>
      <c r="J33" s="11"/>
    </row>
    <row r="34" spans="1:10" ht="10.7" customHeight="1" x14ac:dyDescent="0.15">
      <c r="A34" s="12" t="s">
        <v>55</v>
      </c>
      <c r="B34" s="12" t="s">
        <v>56</v>
      </c>
      <c r="C34" s="12" t="s">
        <v>33</v>
      </c>
      <c r="D34" s="13">
        <v>20</v>
      </c>
      <c r="E34" s="13">
        <v>0</v>
      </c>
      <c r="F34" s="13">
        <v>13</v>
      </c>
      <c r="G34" s="13">
        <v>7</v>
      </c>
      <c r="H34" s="14">
        <v>0</v>
      </c>
      <c r="I34" s="14">
        <v>1404</v>
      </c>
      <c r="J34" s="14">
        <v>756</v>
      </c>
    </row>
    <row r="35" spans="1:10" ht="10.7" customHeight="1" x14ac:dyDescent="0.15">
      <c r="A35" s="12" t="s">
        <v>57</v>
      </c>
      <c r="B35" s="12" t="s">
        <v>58</v>
      </c>
      <c r="C35" s="12" t="s">
        <v>33</v>
      </c>
      <c r="D35" s="13">
        <v>10</v>
      </c>
      <c r="E35" s="13">
        <v>0</v>
      </c>
      <c r="F35" s="13">
        <v>0</v>
      </c>
      <c r="G35" s="13">
        <v>10</v>
      </c>
      <c r="H35" s="14">
        <v>0</v>
      </c>
      <c r="I35" s="14">
        <v>0</v>
      </c>
      <c r="J35" s="14">
        <v>1098.3</v>
      </c>
    </row>
    <row r="36" spans="1:10" ht="10.7" customHeight="1" x14ac:dyDescent="0.15">
      <c r="A36" s="15" t="s">
        <v>59</v>
      </c>
      <c r="B36" s="15"/>
      <c r="C36" s="15"/>
      <c r="D36" s="16">
        <v>3258.3</v>
      </c>
      <c r="E36" s="16"/>
      <c r="F36" s="16"/>
      <c r="G36" s="16"/>
      <c r="H36" s="17">
        <f>SUM(H34:H35)</f>
        <v>0</v>
      </c>
      <c r="I36" s="17">
        <f>SUM(I34:I35)</f>
        <v>1404</v>
      </c>
      <c r="J36" s="17">
        <f>SUM(J34:J35)</f>
        <v>1854.3</v>
      </c>
    </row>
    <row r="37" spans="1:10" ht="10.7" customHeight="1" x14ac:dyDescent="0.15">
      <c r="A37" s="9" t="s">
        <v>60</v>
      </c>
      <c r="B37" s="9"/>
      <c r="C37" s="9"/>
      <c r="D37" s="10"/>
      <c r="E37" s="10"/>
      <c r="F37" s="10"/>
      <c r="G37" s="10"/>
      <c r="H37" s="11"/>
      <c r="I37" s="11"/>
      <c r="J37" s="11"/>
    </row>
    <row r="38" spans="1:10" ht="10.7" customHeight="1" x14ac:dyDescent="0.15">
      <c r="A38" s="12" t="s">
        <v>61</v>
      </c>
      <c r="B38" s="12" t="s">
        <v>62</v>
      </c>
      <c r="C38" s="12" t="s">
        <v>47</v>
      </c>
      <c r="D38" s="13">
        <v>15</v>
      </c>
      <c r="E38" s="13">
        <v>0</v>
      </c>
      <c r="F38" s="13">
        <v>7</v>
      </c>
      <c r="G38" s="13">
        <v>8</v>
      </c>
      <c r="H38" s="14">
        <v>0</v>
      </c>
      <c r="I38" s="14">
        <v>7175.98</v>
      </c>
      <c r="J38" s="14">
        <v>8201.1200000000008</v>
      </c>
    </row>
    <row r="39" spans="1:10" ht="10.7" customHeight="1" x14ac:dyDescent="0.15">
      <c r="A39" s="15" t="s">
        <v>63</v>
      </c>
      <c r="B39" s="15"/>
      <c r="C39" s="15"/>
      <c r="D39" s="16">
        <v>15377.1</v>
      </c>
      <c r="E39" s="16"/>
      <c r="F39" s="16"/>
      <c r="G39" s="16"/>
      <c r="H39" s="17">
        <f>SUM(H38:H38)</f>
        <v>0</v>
      </c>
      <c r="I39" s="17">
        <f>SUM(I38:I38)</f>
        <v>7175.98</v>
      </c>
      <c r="J39" s="17">
        <f>SUM(J38:J38)</f>
        <v>8201.1200000000008</v>
      </c>
    </row>
    <row r="40" spans="1:10" ht="10.7" customHeight="1" x14ac:dyDescent="0.15">
      <c r="A40" s="9" t="s">
        <v>64</v>
      </c>
      <c r="B40" s="9"/>
      <c r="C40" s="9"/>
      <c r="D40" s="10"/>
      <c r="E40" s="10"/>
      <c r="F40" s="10"/>
      <c r="G40" s="10"/>
      <c r="H40" s="11"/>
      <c r="I40" s="11"/>
      <c r="J40" s="11"/>
    </row>
    <row r="41" spans="1:10" ht="10.7" customHeight="1" x14ac:dyDescent="0.15">
      <c r="A41" s="12" t="s">
        <v>65</v>
      </c>
      <c r="B41" s="12" t="s">
        <v>66</v>
      </c>
      <c r="C41" s="12" t="s">
        <v>67</v>
      </c>
      <c r="D41" s="13">
        <v>12</v>
      </c>
      <c r="E41" s="13">
        <v>0</v>
      </c>
      <c r="F41" s="13">
        <v>0</v>
      </c>
      <c r="G41" s="13">
        <v>12</v>
      </c>
      <c r="H41" s="14">
        <v>0</v>
      </c>
      <c r="I41" s="14">
        <v>0</v>
      </c>
      <c r="J41" s="14">
        <v>2616.7199999999998</v>
      </c>
    </row>
    <row r="42" spans="1:10" ht="10.7" customHeight="1" x14ac:dyDescent="0.15">
      <c r="A42" s="12" t="s">
        <v>68</v>
      </c>
      <c r="B42" s="12" t="s">
        <v>69</v>
      </c>
      <c r="C42" s="12" t="s">
        <v>67</v>
      </c>
      <c r="D42" s="13">
        <v>9</v>
      </c>
      <c r="E42" s="13">
        <v>30</v>
      </c>
      <c r="F42" s="13">
        <v>22</v>
      </c>
      <c r="G42" s="13">
        <v>17</v>
      </c>
      <c r="H42" s="14">
        <v>3168</v>
      </c>
      <c r="I42" s="14">
        <v>2252.19</v>
      </c>
      <c r="J42" s="14">
        <v>1795.2</v>
      </c>
    </row>
    <row r="43" spans="1:10" ht="10.7" customHeight="1" x14ac:dyDescent="0.15">
      <c r="A43" s="12" t="s">
        <v>70</v>
      </c>
      <c r="B43" s="12" t="s">
        <v>71</v>
      </c>
      <c r="C43" s="12" t="s">
        <v>67</v>
      </c>
      <c r="D43" s="13">
        <v>0</v>
      </c>
      <c r="E43" s="13">
        <v>10</v>
      </c>
      <c r="F43" s="13">
        <v>0</v>
      </c>
      <c r="G43" s="13">
        <v>10</v>
      </c>
      <c r="H43" s="14">
        <v>1440</v>
      </c>
      <c r="I43" s="14">
        <v>0</v>
      </c>
      <c r="J43" s="14">
        <v>1440</v>
      </c>
    </row>
    <row r="44" spans="1:10" ht="10.7" customHeight="1" x14ac:dyDescent="0.15">
      <c r="A44" s="12" t="s">
        <v>72</v>
      </c>
      <c r="B44" s="12" t="s">
        <v>73</v>
      </c>
      <c r="C44" s="12" t="s">
        <v>74</v>
      </c>
      <c r="D44" s="13">
        <v>28</v>
      </c>
      <c r="E44" s="13">
        <v>0</v>
      </c>
      <c r="F44" s="13">
        <v>2</v>
      </c>
      <c r="G44" s="13">
        <v>26</v>
      </c>
      <c r="H44" s="14">
        <v>0</v>
      </c>
      <c r="I44" s="14">
        <v>1336.24</v>
      </c>
      <c r="J44" s="14">
        <v>17371.12</v>
      </c>
    </row>
    <row r="45" spans="1:10" ht="10.7" customHeight="1" x14ac:dyDescent="0.15">
      <c r="A45" s="12" t="s">
        <v>75</v>
      </c>
      <c r="B45" s="12" t="s">
        <v>76</v>
      </c>
      <c r="C45" s="12" t="s">
        <v>67</v>
      </c>
      <c r="D45" s="13">
        <v>0</v>
      </c>
      <c r="E45" s="13">
        <v>10</v>
      </c>
      <c r="F45" s="13">
        <v>0</v>
      </c>
      <c r="G45" s="13">
        <v>10</v>
      </c>
      <c r="H45" s="14">
        <v>964.1</v>
      </c>
      <c r="I45" s="14">
        <v>0</v>
      </c>
      <c r="J45" s="14">
        <v>964.1</v>
      </c>
    </row>
    <row r="46" spans="1:10" ht="10.7" customHeight="1" x14ac:dyDescent="0.15">
      <c r="A46" s="12" t="s">
        <v>77</v>
      </c>
      <c r="B46" s="12" t="s">
        <v>78</v>
      </c>
      <c r="C46" s="12" t="s">
        <v>67</v>
      </c>
      <c r="D46" s="13">
        <v>4</v>
      </c>
      <c r="E46" s="13">
        <v>0</v>
      </c>
      <c r="F46" s="13">
        <v>2</v>
      </c>
      <c r="G46" s="13">
        <v>2</v>
      </c>
      <c r="H46" s="14">
        <v>0</v>
      </c>
      <c r="I46" s="14">
        <v>217.44</v>
      </c>
      <c r="J46" s="14">
        <v>217.44</v>
      </c>
    </row>
    <row r="47" spans="1:10" ht="10.7" customHeight="1" x14ac:dyDescent="0.15">
      <c r="A47" s="12" t="s">
        <v>79</v>
      </c>
      <c r="B47" s="12" t="s">
        <v>80</v>
      </c>
      <c r="C47" s="12" t="s">
        <v>67</v>
      </c>
      <c r="D47" s="13">
        <v>28</v>
      </c>
      <c r="E47" s="13">
        <v>0</v>
      </c>
      <c r="F47" s="13">
        <v>5</v>
      </c>
      <c r="G47" s="13">
        <v>23</v>
      </c>
      <c r="H47" s="14">
        <v>0</v>
      </c>
      <c r="I47" s="14">
        <v>915.75</v>
      </c>
      <c r="J47" s="14">
        <v>4212.45</v>
      </c>
    </row>
    <row r="48" spans="1:10" ht="10.7" customHeight="1" x14ac:dyDescent="0.15">
      <c r="A48" s="12" t="s">
        <v>81</v>
      </c>
      <c r="B48" s="12" t="s">
        <v>82</v>
      </c>
      <c r="C48" s="12" t="s">
        <v>83</v>
      </c>
      <c r="D48" s="13">
        <v>24</v>
      </c>
      <c r="E48" s="13">
        <v>0</v>
      </c>
      <c r="F48" s="13">
        <v>4</v>
      </c>
      <c r="G48" s="13">
        <v>20</v>
      </c>
      <c r="H48" s="14">
        <v>0</v>
      </c>
      <c r="I48" s="14">
        <v>559</v>
      </c>
      <c r="J48" s="14">
        <v>2795</v>
      </c>
    </row>
    <row r="49" spans="1:10" ht="10.7" customHeight="1" x14ac:dyDescent="0.15">
      <c r="A49" s="12" t="s">
        <v>84</v>
      </c>
      <c r="B49" s="12" t="s">
        <v>85</v>
      </c>
      <c r="C49" s="12" t="s">
        <v>67</v>
      </c>
      <c r="D49" s="13">
        <v>12</v>
      </c>
      <c r="E49" s="13">
        <v>0</v>
      </c>
      <c r="F49" s="13">
        <v>4</v>
      </c>
      <c r="G49" s="13">
        <v>8</v>
      </c>
      <c r="H49" s="14">
        <v>0</v>
      </c>
      <c r="I49" s="14">
        <v>586.96</v>
      </c>
      <c r="J49" s="14">
        <v>1173.92</v>
      </c>
    </row>
    <row r="50" spans="1:10" ht="10.7" customHeight="1" x14ac:dyDescent="0.15">
      <c r="A50" s="12" t="s">
        <v>86</v>
      </c>
      <c r="B50" s="12" t="s">
        <v>87</v>
      </c>
      <c r="C50" s="12" t="s">
        <v>67</v>
      </c>
      <c r="D50" s="13">
        <v>15</v>
      </c>
      <c r="E50" s="13">
        <v>0</v>
      </c>
      <c r="F50" s="13">
        <v>3</v>
      </c>
      <c r="G50" s="13">
        <v>12</v>
      </c>
      <c r="H50" s="14">
        <v>0</v>
      </c>
      <c r="I50" s="14">
        <v>463.47</v>
      </c>
      <c r="J50" s="14">
        <v>1853.88</v>
      </c>
    </row>
    <row r="51" spans="1:10" ht="10.7" customHeight="1" x14ac:dyDescent="0.15">
      <c r="A51" s="12" t="s">
        <v>88</v>
      </c>
      <c r="B51" s="12" t="s">
        <v>89</v>
      </c>
      <c r="C51" s="12" t="s">
        <v>83</v>
      </c>
      <c r="D51" s="13">
        <v>7</v>
      </c>
      <c r="E51" s="13">
        <v>0</v>
      </c>
      <c r="F51" s="13">
        <v>4</v>
      </c>
      <c r="G51" s="13">
        <v>3</v>
      </c>
      <c r="H51" s="14">
        <v>0</v>
      </c>
      <c r="I51" s="14">
        <v>564.64</v>
      </c>
      <c r="J51" s="14">
        <v>423.48</v>
      </c>
    </row>
    <row r="52" spans="1:10" ht="10.7" customHeight="1" x14ac:dyDescent="0.15">
      <c r="A52" s="12" t="s">
        <v>90</v>
      </c>
      <c r="B52" s="12" t="s">
        <v>91</v>
      </c>
      <c r="C52" s="12" t="s">
        <v>83</v>
      </c>
      <c r="D52" s="13">
        <v>35</v>
      </c>
      <c r="E52" s="13">
        <v>60</v>
      </c>
      <c r="F52" s="13">
        <v>68</v>
      </c>
      <c r="G52" s="13">
        <v>27</v>
      </c>
      <c r="H52" s="14">
        <v>8833.2000000000007</v>
      </c>
      <c r="I52" s="14">
        <v>10010.959999999999</v>
      </c>
      <c r="J52" s="14">
        <v>3974.94</v>
      </c>
    </row>
    <row r="53" spans="1:10" ht="10.7" customHeight="1" x14ac:dyDescent="0.15">
      <c r="A53" s="12" t="s">
        <v>92</v>
      </c>
      <c r="B53" s="12" t="s">
        <v>93</v>
      </c>
      <c r="C53" s="12" t="s">
        <v>83</v>
      </c>
      <c r="D53" s="13">
        <v>20</v>
      </c>
      <c r="E53" s="13">
        <v>0</v>
      </c>
      <c r="F53" s="13">
        <v>5</v>
      </c>
      <c r="G53" s="13">
        <v>15</v>
      </c>
      <c r="H53" s="14">
        <v>0</v>
      </c>
      <c r="I53" s="14">
        <v>908.55</v>
      </c>
      <c r="J53" s="14">
        <v>2725.65</v>
      </c>
    </row>
    <row r="54" spans="1:10" ht="10.7" customHeight="1" x14ac:dyDescent="0.15">
      <c r="A54" s="15" t="s">
        <v>94</v>
      </c>
      <c r="B54" s="15"/>
      <c r="C54" s="15"/>
      <c r="D54" s="16">
        <v>43741.61</v>
      </c>
      <c r="E54" s="16"/>
      <c r="F54" s="16"/>
      <c r="G54" s="16"/>
      <c r="H54" s="17">
        <f>SUM(H41:H53)</f>
        <v>14405.300000000001</v>
      </c>
      <c r="I54" s="17">
        <f>SUM(I41:I53)</f>
        <v>17815.2</v>
      </c>
      <c r="J54" s="17">
        <f>SUM(J41:J53)</f>
        <v>41563.9</v>
      </c>
    </row>
    <row r="55" spans="1:10" ht="10.7" customHeight="1" x14ac:dyDescent="0.15">
      <c r="A55" s="18"/>
      <c r="B55" s="18" t="s">
        <v>95</v>
      </c>
      <c r="C55" s="18"/>
      <c r="D55" s="19">
        <v>190664.39</v>
      </c>
      <c r="E55" s="19">
        <v>0</v>
      </c>
      <c r="F55" s="19">
        <v>0</v>
      </c>
      <c r="G55" s="19">
        <v>0</v>
      </c>
      <c r="H55" s="20">
        <v>99406.48</v>
      </c>
      <c r="I55" s="20">
        <v>122358.76000000001</v>
      </c>
      <c r="J55" s="20">
        <v>167605.66</v>
      </c>
    </row>
  </sheetData>
  <mergeCells count="12">
    <mergeCell ref="A23:J23"/>
    <mergeCell ref="A27:J27"/>
    <mergeCell ref="A30:J30"/>
    <mergeCell ref="A33:J33"/>
    <mergeCell ref="A37:J37"/>
    <mergeCell ref="A40:J40"/>
    <mergeCell ref="A1:J1"/>
    <mergeCell ref="A2:J2"/>
    <mergeCell ref="A3:J3"/>
    <mergeCell ref="A4:J4"/>
    <mergeCell ref="A6:J6"/>
    <mergeCell ref="A11:J11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</cp:lastModifiedBy>
  <dcterms:created xsi:type="dcterms:W3CDTF">2026-08-01T09:14:05Z</dcterms:created>
  <dcterms:modified xsi:type="dcterms:W3CDTF">2026-08-01T09:14:22Z</dcterms:modified>
</cp:coreProperties>
</file>