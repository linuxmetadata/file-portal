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xr:revisionPtr revIDLastSave="0" documentId="8_{3E3EBC65-6967-4D4A-A90B-DCD3EE11D1F8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I38" i="1"/>
</calcChain>
</file>

<file path=xl/sharedStrings.xml><?xml version="1.0" encoding="utf-8"?>
<sst xmlns="http://schemas.openxmlformats.org/spreadsheetml/2006/main" count="78" uniqueCount="69">
  <si>
    <t>PRAKASH MEDICAL CENTRE</t>
  </si>
  <si>
    <t>14 CANNOUGHT ROAD, OPP. PUNE RLY STATION PUNE 411001 Ph. : 020-26122264, 9960991675</t>
  </si>
  <si>
    <t>Mobile:  9960991675, 9822189111</t>
  </si>
  <si>
    <t>Email:  prakashmedicalcentrepune1@gmail.com</t>
  </si>
  <si>
    <t>Stock and Sales</t>
  </si>
  <si>
    <t>Company: LINUX</t>
  </si>
  <si>
    <t>01-07-26 to 31-07-26</t>
  </si>
  <si>
    <t>Product name</t>
  </si>
  <si>
    <t>Unit</t>
  </si>
  <si>
    <t>Op</t>
  </si>
  <si>
    <t>Purc</t>
  </si>
  <si>
    <t>Sale</t>
  </si>
  <si>
    <t>WSale</t>
  </si>
  <si>
    <t>Jun Sa</t>
  </si>
  <si>
    <t>May Sa</t>
  </si>
  <si>
    <t>Sa val</t>
  </si>
  <si>
    <t>Cl qty</t>
  </si>
  <si>
    <t>Cl val</t>
  </si>
  <si>
    <t>NM60D qty</t>
  </si>
  <si>
    <t>NM90D qty</t>
  </si>
  <si>
    <t>NM val</t>
  </si>
  <si>
    <t>NE</t>
  </si>
  <si>
    <t>BECOSTAR G CAPS</t>
  </si>
  <si>
    <t>10 CAPSULES</t>
  </si>
  <si>
    <t>BECOSTAR SYR</t>
  </si>
  <si>
    <t>200 ML</t>
  </si>
  <si>
    <t>BONTRIX TABLETS</t>
  </si>
  <si>
    <t>10 TABLETS</t>
  </si>
  <si>
    <t>CELONG IV 1.5 GM/6ML</t>
  </si>
  <si>
    <t>1.5GM/6ML</t>
  </si>
  <si>
    <t>ETORIFLEX MR 4MG</t>
  </si>
  <si>
    <t>FERIZAC 100MG/5ML</t>
  </si>
  <si>
    <t>100 MG/ML</t>
  </si>
  <si>
    <t>HMB MAX Sachet(3gm)</t>
  </si>
  <si>
    <t>3 GM SACHET</t>
  </si>
  <si>
    <t>IBFLUX SOLUTION</t>
  </si>
  <si>
    <t>200ML</t>
  </si>
  <si>
    <t>IBIMICA 50 MG(MICAFUNGIN)</t>
  </si>
  <si>
    <t>INJ</t>
  </si>
  <si>
    <t>IBIPITAZ 4.5 Mg</t>
  </si>
  <si>
    <t>VIAL</t>
  </si>
  <si>
    <t>IBITIG 50 MG INJECTION</t>
  </si>
  <si>
    <t>10 ML VIAL</t>
  </si>
  <si>
    <t>LIN FCM IV</t>
  </si>
  <si>
    <t>LINCIPARA 100 ML INFUSION(PLAS</t>
  </si>
  <si>
    <t>100 ML</t>
  </si>
  <si>
    <t>LINCIPARA INFU. 100 ML POUCH</t>
  </si>
  <si>
    <t>MERATO 1GM</t>
  </si>
  <si>
    <t>1 gm</t>
  </si>
  <si>
    <t>MONTGOLD TAB</t>
  </si>
  <si>
    <t>PENPIL 300 MG ER</t>
  </si>
  <si>
    <t>10 TAB</t>
  </si>
  <si>
    <t>PHYSIOLYTE 500 ML INJECTION</t>
  </si>
  <si>
    <t>500 ML</t>
  </si>
  <si>
    <t>STERIGLU 100 ML INFUSION</t>
  </si>
  <si>
    <t>100 ML INFUSION</t>
  </si>
  <si>
    <t>STERIGLU PLUS SACHET</t>
  </si>
  <si>
    <t>15 GM</t>
  </si>
  <si>
    <t>STERIGLU PLUS SACHET (1)</t>
  </si>
  <si>
    <t>STERIMINO 10%</t>
  </si>
  <si>
    <t>STERIMINO 10% 500 ML</t>
  </si>
  <si>
    <t>STERIMINO 7%</t>
  </si>
  <si>
    <t>250 ML</t>
  </si>
  <si>
    <t>TRESCURB INJ</t>
  </si>
  <si>
    <t>TRESCURB TABLET</t>
  </si>
  <si>
    <t>ZINCDRIP 10 ML</t>
  </si>
  <si>
    <t>10 ML</t>
  </si>
  <si>
    <t>Totals:</t>
  </si>
  <si>
    <t>Generated at 2026-07-31 19:29:53 by MAIN using MediVision Platinum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</si>
</sst>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0"/>
    <numFmt numFmtId="165" formatCode="########0.00"/>
  </numFmts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39"/>
  <sheetViews>
    <sheetView tabSelected="1" workbookViewId="0"/>
  </sheetViews>
  <sheetFormatPr defaultRowHeight="15" x14ac:dyDescent="0.2"/>
  <cols>
    <col min="1" max="1" width="31.74609375" customWidth="1"/>
    <col min="2" max="2" width="11.703125" customWidth="1"/>
    <col min="3" max="8" width="10.76171875" customWidth="1"/>
    <col min="9" max="9" width="14.66015625" customWidth="1"/>
    <col min="10" max="10" width="10.76171875" customWidth="1"/>
    <col min="11" max="11" width="14.66015625" customWidth="1"/>
    <col min="12" max="13" width="11.703125" customWidth="1"/>
    <col min="14" max="14" width="14.66015625" customWidth="1"/>
    <col min="15" max="15" width="10.76171875" customWidth="1"/>
  </cols>
  <sheetData>
    <row r="3" spans="1:15" ht="21" x14ac:dyDescent="0.2">
      <c r="A3" s="9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2">
      <c r="A4" s="10" t="s">
        <v>1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1:15" x14ac:dyDescent="0.2">
      <c r="A5" s="10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1:15" x14ac:dyDescent="0.2">
      <c r="A6" s="10" t="s">
        <v>3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1:15" ht="21" x14ac:dyDescent="0.2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x14ac:dyDescent="0.2">
      <c r="A8" s="10" t="s">
        <v>5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 x14ac:dyDescent="0.2">
      <c r="A9" s="10" t="s">
        <v>6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 ht="18.75" x14ac:dyDescent="0.2">
      <c r="A10" s="1" t="s">
        <v>7</v>
      </c>
      <c r="B10" s="1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20</v>
      </c>
      <c r="O10" s="2" t="s">
        <v>21</v>
      </c>
    </row>
    <row r="11" spans="1:15" x14ac:dyDescent="0.2">
      <c r="A11" s="3" t="s">
        <v>22</v>
      </c>
      <c r="B11" s="3" t="s">
        <v>23</v>
      </c>
      <c r="C11" s="4">
        <v>101</v>
      </c>
      <c r="D11" s="4"/>
      <c r="E11" s="4"/>
      <c r="F11" s="4"/>
      <c r="G11" s="4"/>
      <c r="H11" s="4">
        <v>50</v>
      </c>
      <c r="I11" s="5"/>
      <c r="J11" s="4">
        <v>101</v>
      </c>
      <c r="K11" s="5">
        <v>15072</v>
      </c>
      <c r="L11" s="4"/>
      <c r="M11" s="4"/>
      <c r="N11" s="5"/>
      <c r="O11" s="4"/>
    </row>
    <row r="12" spans="1:15" x14ac:dyDescent="0.2">
      <c r="A12" s="3" t="s">
        <v>24</v>
      </c>
      <c r="B12" s="3" t="s">
        <v>25</v>
      </c>
      <c r="C12" s="4">
        <v>20</v>
      </c>
      <c r="D12" s="4"/>
      <c r="E12" s="4"/>
      <c r="F12" s="4"/>
      <c r="G12" s="4"/>
      <c r="H12" s="4"/>
      <c r="I12" s="5"/>
      <c r="J12" s="4">
        <v>20</v>
      </c>
      <c r="K12" s="5">
        <v>2095</v>
      </c>
      <c r="L12" s="4">
        <v>20</v>
      </c>
      <c r="M12" s="4">
        <v>20</v>
      </c>
      <c r="N12" s="5">
        <v>2095.1999999999998</v>
      </c>
      <c r="O12" s="4"/>
    </row>
    <row r="13" spans="1:15" x14ac:dyDescent="0.2">
      <c r="A13" s="3" t="s">
        <v>26</v>
      </c>
      <c r="B13" s="3" t="s">
        <v>27</v>
      </c>
      <c r="C13" s="4">
        <v>50</v>
      </c>
      <c r="D13" s="4"/>
      <c r="E13" s="4"/>
      <c r="F13" s="4"/>
      <c r="G13" s="4"/>
      <c r="H13" s="4"/>
      <c r="I13" s="5"/>
      <c r="J13" s="4">
        <v>50</v>
      </c>
      <c r="K13" s="5">
        <v>7920</v>
      </c>
      <c r="L13" s="4">
        <v>50</v>
      </c>
      <c r="M13" s="4">
        <v>50</v>
      </c>
      <c r="N13" s="5">
        <v>7920</v>
      </c>
      <c r="O13" s="4"/>
    </row>
    <row r="14" spans="1:15" x14ac:dyDescent="0.2">
      <c r="A14" s="3" t="s">
        <v>28</v>
      </c>
      <c r="B14" s="3" t="s">
        <v>29</v>
      </c>
      <c r="C14" s="4">
        <v>210</v>
      </c>
      <c r="D14" s="4"/>
      <c r="E14" s="4">
        <v>65</v>
      </c>
      <c r="F14" s="4"/>
      <c r="G14" s="4">
        <v>500</v>
      </c>
      <c r="H14" s="4"/>
      <c r="I14" s="5">
        <v>3300</v>
      </c>
      <c r="J14" s="4">
        <v>145</v>
      </c>
      <c r="K14" s="5">
        <v>5800</v>
      </c>
      <c r="L14" s="4"/>
      <c r="M14" s="4"/>
      <c r="N14" s="5"/>
      <c r="O14" s="4"/>
    </row>
    <row r="15" spans="1:15" x14ac:dyDescent="0.2">
      <c r="A15" s="3" t="s">
        <v>30</v>
      </c>
      <c r="B15" s="3" t="s">
        <v>27</v>
      </c>
      <c r="C15" s="4">
        <v>20</v>
      </c>
      <c r="D15" s="4"/>
      <c r="E15" s="4"/>
      <c r="F15" s="4"/>
      <c r="G15" s="4"/>
      <c r="H15" s="4"/>
      <c r="I15" s="5"/>
      <c r="J15" s="4">
        <v>20</v>
      </c>
      <c r="K15" s="5">
        <v>3370</v>
      </c>
      <c r="L15" s="4">
        <v>20</v>
      </c>
      <c r="M15" s="4">
        <v>20</v>
      </c>
      <c r="N15" s="5">
        <v>3369.8</v>
      </c>
      <c r="O15" s="4"/>
    </row>
    <row r="16" spans="1:15" x14ac:dyDescent="0.2">
      <c r="A16" s="3" t="s">
        <v>31</v>
      </c>
      <c r="B16" s="3" t="s">
        <v>32</v>
      </c>
      <c r="C16" s="4">
        <v>32</v>
      </c>
      <c r="D16" s="4"/>
      <c r="E16" s="4"/>
      <c r="F16" s="4"/>
      <c r="G16" s="4"/>
      <c r="H16" s="4">
        <v>10</v>
      </c>
      <c r="I16" s="5"/>
      <c r="J16" s="4">
        <v>32</v>
      </c>
      <c r="K16" s="5">
        <v>36450</v>
      </c>
      <c r="L16" s="4"/>
      <c r="M16" s="4"/>
      <c r="N16" s="5"/>
      <c r="O16" s="4"/>
    </row>
    <row r="17" spans="1:15" x14ac:dyDescent="0.2">
      <c r="A17" s="3" t="s">
        <v>33</v>
      </c>
      <c r="B17" s="3" t="s">
        <v>34</v>
      </c>
      <c r="C17" s="4">
        <v>1096</v>
      </c>
      <c r="D17" s="4"/>
      <c r="E17" s="4">
        <v>331</v>
      </c>
      <c r="F17" s="4"/>
      <c r="G17" s="4">
        <v>567</v>
      </c>
      <c r="H17" s="4">
        <v>568</v>
      </c>
      <c r="I17" s="5">
        <v>47916</v>
      </c>
      <c r="J17" s="4">
        <v>765</v>
      </c>
      <c r="K17" s="5">
        <v>99664</v>
      </c>
      <c r="L17" s="4"/>
      <c r="M17" s="4"/>
      <c r="N17" s="5"/>
      <c r="O17" s="4"/>
    </row>
    <row r="18" spans="1:15" x14ac:dyDescent="0.2">
      <c r="A18" s="3" t="s">
        <v>35</v>
      </c>
      <c r="B18" s="3" t="s">
        <v>36</v>
      </c>
      <c r="C18" s="4">
        <v>136</v>
      </c>
      <c r="D18" s="4"/>
      <c r="E18" s="4">
        <v>74</v>
      </c>
      <c r="F18" s="4"/>
      <c r="G18" s="4">
        <v>105</v>
      </c>
      <c r="H18" s="4">
        <v>61</v>
      </c>
      <c r="I18" s="5">
        <v>10450</v>
      </c>
      <c r="J18" s="4">
        <v>62</v>
      </c>
      <c r="K18" s="5">
        <v>6874</v>
      </c>
      <c r="L18" s="4"/>
      <c r="M18" s="4"/>
      <c r="N18" s="5"/>
      <c r="O18" s="4">
        <v>4</v>
      </c>
    </row>
    <row r="19" spans="1:15" x14ac:dyDescent="0.2">
      <c r="A19" s="3" t="s">
        <v>37</v>
      </c>
      <c r="B19" s="3" t="s">
        <v>38</v>
      </c>
      <c r="C19" s="4"/>
      <c r="D19" s="4"/>
      <c r="E19" s="4"/>
      <c r="F19" s="4"/>
      <c r="G19" s="4"/>
      <c r="H19" s="4"/>
      <c r="I19" s="5"/>
      <c r="J19" s="4">
        <v>1</v>
      </c>
      <c r="K19" s="5">
        <v>1085</v>
      </c>
      <c r="L19" s="4"/>
      <c r="M19" s="4"/>
      <c r="N19" s="5"/>
      <c r="O19" s="4">
        <v>1</v>
      </c>
    </row>
    <row r="20" spans="1:15" x14ac:dyDescent="0.2">
      <c r="A20" s="3" t="s">
        <v>39</v>
      </c>
      <c r="B20" s="3" t="s">
        <v>40</v>
      </c>
      <c r="C20" s="4"/>
      <c r="D20" s="4"/>
      <c r="E20" s="4"/>
      <c r="F20" s="4"/>
      <c r="G20" s="4"/>
      <c r="H20" s="4"/>
      <c r="I20" s="5"/>
      <c r="J20" s="4"/>
      <c r="K20" s="5"/>
      <c r="L20" s="4"/>
      <c r="M20" s="4"/>
      <c r="N20" s="5"/>
      <c r="O20" s="4"/>
    </row>
    <row r="21" spans="1:15" x14ac:dyDescent="0.2">
      <c r="A21" s="3" t="s">
        <v>41</v>
      </c>
      <c r="B21" s="3" t="s">
        <v>42</v>
      </c>
      <c r="C21" s="4"/>
      <c r="D21" s="4"/>
      <c r="E21" s="4"/>
      <c r="F21" s="4"/>
      <c r="G21" s="4"/>
      <c r="H21" s="4"/>
      <c r="I21" s="5"/>
      <c r="J21" s="4"/>
      <c r="K21" s="5"/>
      <c r="L21" s="4"/>
      <c r="M21" s="4"/>
      <c r="N21" s="5"/>
      <c r="O21" s="4"/>
    </row>
    <row r="22" spans="1:15" x14ac:dyDescent="0.2">
      <c r="A22" s="3" t="s">
        <v>43</v>
      </c>
      <c r="B22" s="3" t="s">
        <v>42</v>
      </c>
      <c r="C22" s="4"/>
      <c r="D22" s="4"/>
      <c r="E22" s="4"/>
      <c r="F22" s="4"/>
      <c r="G22" s="4"/>
      <c r="H22" s="4"/>
      <c r="I22" s="5"/>
      <c r="J22" s="4"/>
      <c r="K22" s="5"/>
      <c r="L22" s="4"/>
      <c r="M22" s="4"/>
      <c r="N22" s="5"/>
      <c r="O22" s="4"/>
    </row>
    <row r="23" spans="1:15" x14ac:dyDescent="0.2">
      <c r="A23" s="3" t="s">
        <v>44</v>
      </c>
      <c r="B23" s="3" t="s">
        <v>45</v>
      </c>
      <c r="C23" s="4">
        <v>180</v>
      </c>
      <c r="D23" s="4"/>
      <c r="E23" s="4"/>
      <c r="F23" s="4"/>
      <c r="G23" s="4">
        <v>20</v>
      </c>
      <c r="H23" s="4">
        <v>94</v>
      </c>
      <c r="I23" s="5"/>
      <c r="J23" s="4">
        <v>180</v>
      </c>
      <c r="K23" s="5">
        <v>4230</v>
      </c>
      <c r="L23" s="4"/>
      <c r="M23" s="4"/>
      <c r="N23" s="5"/>
      <c r="O23" s="4"/>
    </row>
    <row r="24" spans="1:15" x14ac:dyDescent="0.2">
      <c r="A24" s="3" t="s">
        <v>46</v>
      </c>
      <c r="B24" s="3" t="s">
        <v>45</v>
      </c>
      <c r="C24" s="4"/>
      <c r="D24" s="4"/>
      <c r="E24" s="4"/>
      <c r="F24" s="4"/>
      <c r="G24" s="4"/>
      <c r="H24" s="4"/>
      <c r="I24" s="5"/>
      <c r="J24" s="4"/>
      <c r="K24" s="5"/>
      <c r="L24" s="4"/>
      <c r="M24" s="4"/>
      <c r="N24" s="5"/>
      <c r="O24" s="4"/>
    </row>
    <row r="25" spans="1:15" x14ac:dyDescent="0.2">
      <c r="A25" s="3" t="s">
        <v>47</v>
      </c>
      <c r="B25" s="3" t="s">
        <v>48</v>
      </c>
      <c r="C25" s="4"/>
      <c r="D25" s="4"/>
      <c r="E25" s="4"/>
      <c r="F25" s="4"/>
      <c r="G25" s="4"/>
      <c r="H25" s="4"/>
      <c r="I25" s="5"/>
      <c r="J25" s="4"/>
      <c r="K25" s="5"/>
      <c r="L25" s="4"/>
      <c r="M25" s="4"/>
      <c r="N25" s="5"/>
      <c r="O25" s="4"/>
    </row>
    <row r="26" spans="1:15" x14ac:dyDescent="0.2">
      <c r="A26" s="3" t="s">
        <v>49</v>
      </c>
      <c r="B26" s="3" t="s">
        <v>27</v>
      </c>
      <c r="C26" s="4">
        <v>49</v>
      </c>
      <c r="D26" s="4"/>
      <c r="E26" s="4"/>
      <c r="F26" s="4"/>
      <c r="G26" s="4">
        <v>1</v>
      </c>
      <c r="H26" s="4">
        <v>2</v>
      </c>
      <c r="I26" s="5"/>
      <c r="J26" s="4">
        <v>49</v>
      </c>
      <c r="K26" s="5">
        <v>4439</v>
      </c>
      <c r="L26" s="4"/>
      <c r="M26" s="4"/>
      <c r="N26" s="5"/>
      <c r="O26" s="4"/>
    </row>
    <row r="27" spans="1:15" x14ac:dyDescent="0.2">
      <c r="A27" s="3" t="s">
        <v>50</v>
      </c>
      <c r="B27" s="3" t="s">
        <v>51</v>
      </c>
      <c r="C27" s="4">
        <v>7</v>
      </c>
      <c r="D27" s="4"/>
      <c r="E27" s="4"/>
      <c r="F27" s="4"/>
      <c r="G27" s="4"/>
      <c r="H27" s="4"/>
      <c r="I27" s="5"/>
      <c r="J27" s="4">
        <v>7</v>
      </c>
      <c r="K27" s="5">
        <v>3880</v>
      </c>
      <c r="L27" s="4">
        <v>7</v>
      </c>
      <c r="M27" s="4">
        <v>7</v>
      </c>
      <c r="N27" s="5">
        <v>3880</v>
      </c>
      <c r="O27" s="4">
        <v>7</v>
      </c>
    </row>
    <row r="28" spans="1:15" x14ac:dyDescent="0.2">
      <c r="A28" s="3" t="s">
        <v>52</v>
      </c>
      <c r="B28" s="3" t="s">
        <v>53</v>
      </c>
      <c r="C28" s="4">
        <v>127</v>
      </c>
      <c r="D28" s="4">
        <v>600</v>
      </c>
      <c r="E28" s="4">
        <v>355</v>
      </c>
      <c r="F28" s="4"/>
      <c r="G28" s="4">
        <v>290</v>
      </c>
      <c r="H28" s="4">
        <v>245</v>
      </c>
      <c r="I28" s="5">
        <v>41849</v>
      </c>
      <c r="J28" s="4">
        <v>387</v>
      </c>
      <c r="K28" s="5">
        <v>31734</v>
      </c>
      <c r="L28" s="4"/>
      <c r="M28" s="4"/>
      <c r="N28" s="5"/>
      <c r="O28" s="4">
        <v>1</v>
      </c>
    </row>
    <row r="29" spans="1:15" x14ac:dyDescent="0.2">
      <c r="A29" s="3" t="s">
        <v>54</v>
      </c>
      <c r="B29" s="3" t="s">
        <v>55</v>
      </c>
      <c r="C29" s="4"/>
      <c r="D29" s="4"/>
      <c r="E29" s="4"/>
      <c r="F29" s="4"/>
      <c r="G29" s="4"/>
      <c r="H29" s="4"/>
      <c r="I29" s="5"/>
      <c r="J29" s="4"/>
      <c r="K29" s="5"/>
      <c r="L29" s="4"/>
      <c r="M29" s="4"/>
      <c r="N29" s="5"/>
      <c r="O29" s="4"/>
    </row>
    <row r="30" spans="1:15" x14ac:dyDescent="0.2">
      <c r="A30" s="3" t="s">
        <v>56</v>
      </c>
      <c r="B30" s="3" t="s">
        <v>57</v>
      </c>
      <c r="C30" s="4">
        <v>82</v>
      </c>
      <c r="D30" s="4"/>
      <c r="E30" s="4">
        <v>75</v>
      </c>
      <c r="F30" s="4"/>
      <c r="G30" s="4"/>
      <c r="H30" s="4"/>
      <c r="I30" s="5">
        <v>6291</v>
      </c>
      <c r="J30" s="4">
        <v>13</v>
      </c>
      <c r="K30" s="5">
        <v>1053</v>
      </c>
      <c r="L30" s="4"/>
      <c r="M30" s="4"/>
      <c r="N30" s="5"/>
      <c r="O30" s="4">
        <v>2</v>
      </c>
    </row>
    <row r="31" spans="1:15" x14ac:dyDescent="0.2">
      <c r="A31" s="3" t="s">
        <v>58</v>
      </c>
      <c r="B31" s="3" t="s">
        <v>57</v>
      </c>
      <c r="C31" s="4">
        <v>8</v>
      </c>
      <c r="D31" s="4"/>
      <c r="E31" s="4"/>
      <c r="F31" s="4"/>
      <c r="G31" s="4"/>
      <c r="H31" s="4"/>
      <c r="I31" s="5"/>
      <c r="J31" s="4">
        <v>8</v>
      </c>
      <c r="K31" s="5">
        <v>560</v>
      </c>
      <c r="L31" s="4">
        <v>8</v>
      </c>
      <c r="M31" s="4">
        <v>8</v>
      </c>
      <c r="N31" s="5">
        <v>560</v>
      </c>
      <c r="O31" s="4">
        <v>8</v>
      </c>
    </row>
    <row r="32" spans="1:15" x14ac:dyDescent="0.2">
      <c r="A32" s="3" t="s">
        <v>59</v>
      </c>
      <c r="B32" s="3" t="s">
        <v>25</v>
      </c>
      <c r="C32" s="4">
        <v>10</v>
      </c>
      <c r="D32" s="4"/>
      <c r="E32" s="4"/>
      <c r="F32" s="4"/>
      <c r="G32" s="4"/>
      <c r="H32" s="4"/>
      <c r="I32" s="5"/>
      <c r="J32" s="4">
        <v>10</v>
      </c>
      <c r="K32" s="5">
        <v>2500</v>
      </c>
      <c r="L32" s="4">
        <v>10</v>
      </c>
      <c r="M32" s="4">
        <v>10</v>
      </c>
      <c r="N32" s="5">
        <v>2500.0571428571461</v>
      </c>
      <c r="O32" s="4">
        <v>10</v>
      </c>
    </row>
    <row r="33" spans="1:15" x14ac:dyDescent="0.2">
      <c r="A33" s="3" t="s">
        <v>60</v>
      </c>
      <c r="B33" s="3" t="s">
        <v>53</v>
      </c>
      <c r="C33" s="4">
        <v>67</v>
      </c>
      <c r="D33" s="4"/>
      <c r="E33" s="4">
        <v>50</v>
      </c>
      <c r="F33" s="4"/>
      <c r="G33" s="4">
        <v>10</v>
      </c>
      <c r="H33" s="4">
        <v>1</v>
      </c>
      <c r="I33" s="5">
        <v>20100</v>
      </c>
      <c r="J33" s="4">
        <v>17</v>
      </c>
      <c r="K33" s="5">
        <v>6180</v>
      </c>
      <c r="L33" s="4"/>
      <c r="M33" s="4"/>
      <c r="N33" s="5"/>
      <c r="O33" s="4">
        <v>2</v>
      </c>
    </row>
    <row r="34" spans="1:15" x14ac:dyDescent="0.2">
      <c r="A34" s="3" t="s">
        <v>61</v>
      </c>
      <c r="B34" s="3" t="s">
        <v>62</v>
      </c>
      <c r="C34" s="4">
        <v>24</v>
      </c>
      <c r="D34" s="4"/>
      <c r="E34" s="4"/>
      <c r="F34" s="4"/>
      <c r="G34" s="4"/>
      <c r="H34" s="4"/>
      <c r="I34" s="5"/>
      <c r="J34" s="4">
        <v>24</v>
      </c>
      <c r="K34" s="5">
        <v>6288</v>
      </c>
      <c r="L34" s="4">
        <v>24</v>
      </c>
      <c r="M34" s="4"/>
      <c r="N34" s="5">
        <v>6287.9599999999991</v>
      </c>
      <c r="O34" s="4">
        <v>23</v>
      </c>
    </row>
    <row r="35" spans="1:15" x14ac:dyDescent="0.2">
      <c r="A35" s="3" t="s">
        <v>63</v>
      </c>
      <c r="B35" s="3" t="s">
        <v>40</v>
      </c>
      <c r="C35" s="4">
        <v>38</v>
      </c>
      <c r="D35" s="4"/>
      <c r="E35" s="4">
        <v>5</v>
      </c>
      <c r="F35" s="4"/>
      <c r="G35" s="4">
        <v>15</v>
      </c>
      <c r="H35" s="4">
        <v>50</v>
      </c>
      <c r="I35" s="5">
        <v>3000</v>
      </c>
      <c r="J35" s="4">
        <v>33</v>
      </c>
      <c r="K35" s="5">
        <v>11850</v>
      </c>
      <c r="L35" s="4"/>
      <c r="M35" s="4"/>
      <c r="N35" s="5"/>
      <c r="O35" s="4">
        <v>3</v>
      </c>
    </row>
    <row r="36" spans="1:15" x14ac:dyDescent="0.2">
      <c r="A36" s="3" t="s">
        <v>64</v>
      </c>
      <c r="B36" s="3" t="s">
        <v>27</v>
      </c>
      <c r="C36" s="4">
        <v>59</v>
      </c>
      <c r="D36" s="4"/>
      <c r="E36" s="4">
        <v>2</v>
      </c>
      <c r="F36" s="4"/>
      <c r="G36" s="4"/>
      <c r="H36" s="4">
        <v>3</v>
      </c>
      <c r="I36" s="5">
        <v>1696</v>
      </c>
      <c r="J36" s="4">
        <v>57</v>
      </c>
      <c r="K36" s="5">
        <v>19581</v>
      </c>
      <c r="L36" s="4"/>
      <c r="M36" s="4"/>
      <c r="N36" s="5"/>
      <c r="O36" s="4"/>
    </row>
    <row r="37" spans="1:15" x14ac:dyDescent="0.2">
      <c r="A37" s="3" t="s">
        <v>65</v>
      </c>
      <c r="B37" s="3" t="s">
        <v>66</v>
      </c>
      <c r="C37" s="4">
        <v>129</v>
      </c>
      <c r="D37" s="4"/>
      <c r="E37" s="4"/>
      <c r="F37" s="4">
        <v>100</v>
      </c>
      <c r="G37" s="4">
        <v>7</v>
      </c>
      <c r="H37" s="4"/>
      <c r="I37" s="5">
        <v>30476</v>
      </c>
      <c r="J37" s="4">
        <v>29</v>
      </c>
      <c r="K37" s="5">
        <v>7365</v>
      </c>
      <c r="L37" s="4"/>
      <c r="M37" s="4"/>
      <c r="N37" s="5"/>
      <c r="O37" s="4">
        <v>1</v>
      </c>
    </row>
    <row r="38" spans="1:15" x14ac:dyDescent="0.2">
      <c r="A38" s="6"/>
      <c r="B38" s="6"/>
      <c r="C38" s="6"/>
      <c r="D38" s="6"/>
      <c r="E38" s="6"/>
      <c r="F38" s="6"/>
      <c r="G38" s="6"/>
      <c r="H38" s="7" t="s">
        <v>67</v>
      </c>
      <c r="I38" s="8">
        <f>SUM(I11:I37)</f>
        <v>165078</v>
      </c>
      <c r="J38" s="6"/>
      <c r="K38" s="8">
        <f>SUM(K11:K37)</f>
        <v>277990</v>
      </c>
      <c r="L38" s="6"/>
      <c r="M38" s="6"/>
      <c r="N38" s="6"/>
      <c r="O38" s="6"/>
    </row>
    <row r="39" spans="1:15" x14ac:dyDescent="0.2">
      <c r="A39" s="11" t="s">
        <v>68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</sheetData>
  <mergeCells count="8">
    <mergeCell ref="A8:O8"/>
    <mergeCell ref="A9:O9"/>
    <mergeCell ref="A39:O39"/>
    <mergeCell ref="A3:O3"/>
    <mergeCell ref="A4:O4"/>
    <mergeCell ref="A5:O5"/>
    <mergeCell ref="A6:O6"/>
    <mergeCell ref="A7:O7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2026-07-31T19:29:53Z</dcterms:created>
  <dcterms:modified xsi:type="dcterms:W3CDTF">2026-07-31T19:29:53Z</dcterms:modified>
</cp:coreProperties>
</file>