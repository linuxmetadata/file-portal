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600" windowHeight="9045"/>
  </bookViews>
  <sheets>
    <sheet name="Stock Statemen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I10" i="1"/>
  <c r="D11" i="1"/>
  <c r="I11" i="1"/>
  <c r="D12" i="1"/>
  <c r="I12" i="1"/>
  <c r="D13" i="1"/>
  <c r="I13" i="1"/>
  <c r="D14" i="1"/>
  <c r="I14" i="1"/>
  <c r="D15" i="1"/>
  <c r="I15" i="1"/>
  <c r="D16" i="1"/>
  <c r="I16" i="1" s="1"/>
  <c r="I19" i="1" s="1"/>
  <c r="D17" i="1"/>
  <c r="I17" i="1"/>
  <c r="D18" i="1"/>
  <c r="I18" i="1"/>
  <c r="H19" i="1"/>
  <c r="G19" i="1"/>
  <c r="F19" i="1"/>
  <c r="E19" i="1"/>
  <c r="C19" i="1"/>
  <c r="B19" i="1"/>
  <c r="D19" i="1" l="1"/>
</calcChain>
</file>

<file path=xl/sharedStrings.xml><?xml version="1.0" encoding="utf-8"?>
<sst xmlns="http://schemas.openxmlformats.org/spreadsheetml/2006/main" count="29" uniqueCount="29">
  <si>
    <t>KOMA MEDICAL AGENCY</t>
  </si>
  <si>
    <t>0433/1, GROUND FLOOR, PLOT NO.3, NANDU, DOSI NI WADI, SWIMMNING POOL ROAD, VASTADEVDI, KAT</t>
  </si>
  <si>
    <t>Phone: 0261-2413683, 9879381418, 9825762908</t>
  </si>
  <si>
    <t>Stock Statement Report - Non Moving Products For 90 days</t>
  </si>
  <si>
    <t>From:</t>
  </si>
  <si>
    <t>01/07/2026</t>
  </si>
  <si>
    <t>To:</t>
  </si>
  <si>
    <t>31/07/2026</t>
  </si>
  <si>
    <t>Product</t>
  </si>
  <si>
    <t>Opening</t>
  </si>
  <si>
    <t>Purchase</t>
  </si>
  <si>
    <t>Total</t>
  </si>
  <si>
    <t>Sales</t>
  </si>
  <si>
    <t>Sales Ret.</t>
  </si>
  <si>
    <t>Exp/Dmg</t>
  </si>
  <si>
    <t>Shortage</t>
  </si>
  <si>
    <t>Closing Stock</t>
  </si>
  <si>
    <t>LINUX CRITICAL CARE</t>
  </si>
  <si>
    <t>BECOSTAR G CAP-1*10</t>
  </si>
  <si>
    <t>BECOSTAR SYP-200ML</t>
  </si>
  <si>
    <t>BONTRIX TAB-10</t>
  </si>
  <si>
    <t>ETORIFLEX MR 4 TAB-10</t>
  </si>
  <si>
    <t>ETORIFLEX MR 8 TAB10-</t>
  </si>
  <si>
    <t>HMB-MAX SACHET-3GM</t>
  </si>
  <si>
    <t>LINCIPARA 1000MG INJ IV-100ML</t>
  </si>
  <si>
    <t>MONT GOLD TAB10-</t>
  </si>
  <si>
    <t>RDL-C CPAS10-</t>
  </si>
  <si>
    <t>Qty Total:</t>
  </si>
  <si>
    <t>Amount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</si>
</sst>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₹#,##0.00"/>
  </numFmts>
  <fonts count="8" x14ac:knownFonts="1">
    <font>
      <sz val="11"/>
      <color theme="1"/>
      <name val="Calibri"/>
      <family val="2"/>
      <scheme val="minor"/>
    </font>
    <font>
      <b/>
      <sz val="14"/>
      <color rgb="FF1B365D"/>
      <name val="Calibri"/>
    </font>
    <font>
      <i/>
      <sz val="10"/>
      <color rgb="FF555555"/>
      <name val="Calibri"/>
    </font>
    <font>
      <b/>
      <sz val="11"/>
      <color rgb="FF1B365D"/>
      <name val="Calibri"/>
    </font>
    <font>
      <b/>
      <sz val="10"/>
      <color rgb="FF333333"/>
      <name val="Calibri"/>
    </font>
    <font>
      <sz val="10"/>
      <name val="Calibri"/>
    </font>
    <font>
      <b/>
      <sz val="11"/>
      <color rgb="FFFFFFFF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8EEF5"/>
        <bgColor rgb="FFE8EEF5"/>
      </patternFill>
    </fill>
    <fill>
      <patternFill patternType="solid">
        <fgColor rgb="FFF9FAFC"/>
        <bgColor rgb="FFF9FAFC"/>
      </patternFill>
    </fill>
    <fill>
      <patternFill patternType="solid">
        <fgColor rgb="FFF2F4F7"/>
        <bgColor rgb="FFF2F4F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  <xf numFmtId="3" fontId="7" fillId="5" borderId="2" xfId="0" applyNumberFormat="1" applyFont="1" applyFill="1" applyBorder="1" applyAlignment="1">
      <alignment horizontal="right" vertical="center"/>
    </xf>
    <xf numFmtId="164" fontId="7" fillId="5" borderId="2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sqref="A1:I1"/>
    </sheetView>
  </sheetViews>
  <sheetFormatPr defaultRowHeight="15" x14ac:dyDescent="0.25"/>
  <cols>
    <col min="1" max="1" width="34" customWidth="1"/>
    <col min="2" max="8" width="18" customWidth="1"/>
    <col min="9" max="9" width="25" customWidth="1"/>
  </cols>
  <sheetData>
    <row r="1" spans="1:9" ht="18.75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2" spans="1: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</row>
    <row r="3" spans="1:9" x14ac:dyDescent="0.25">
      <c r="A3" s="15" t="s">
        <v>2</v>
      </c>
      <c r="B3" s="14"/>
      <c r="C3" s="14"/>
      <c r="D3" s="14"/>
      <c r="E3" s="14"/>
      <c r="F3" s="14"/>
      <c r="G3" s="14"/>
      <c r="H3" s="14"/>
      <c r="I3" s="14"/>
    </row>
    <row r="5" spans="1:9" x14ac:dyDescent="0.25">
      <c r="A5" s="1" t="s">
        <v>3</v>
      </c>
      <c r="G5" s="2" t="s">
        <v>4</v>
      </c>
      <c r="H5" s="3" t="s">
        <v>5</v>
      </c>
    </row>
    <row r="6" spans="1:9" x14ac:dyDescent="0.25">
      <c r="G6" s="2" t="s">
        <v>6</v>
      </c>
      <c r="H6" s="3" t="s">
        <v>7</v>
      </c>
    </row>
    <row r="8" spans="1:9" ht="24" customHeight="1" x14ac:dyDescent="0.25">
      <c r="A8" s="4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  <c r="G8" s="5" t="s">
        <v>14</v>
      </c>
      <c r="H8" s="5" t="s">
        <v>15</v>
      </c>
      <c r="I8" s="5" t="s">
        <v>16</v>
      </c>
    </row>
    <row r="9" spans="1:9" ht="20.100000000000001" customHeight="1" x14ac:dyDescent="0.25">
      <c r="A9" s="16" t="s">
        <v>17</v>
      </c>
      <c r="B9" s="14"/>
      <c r="C9" s="14"/>
      <c r="D9" s="14"/>
      <c r="E9" s="14"/>
      <c r="F9" s="14"/>
      <c r="G9" s="14"/>
      <c r="H9" s="14"/>
      <c r="I9" s="14"/>
    </row>
    <row r="10" spans="1:9" ht="20.100000000000001" customHeight="1" x14ac:dyDescent="0.25">
      <c r="A10" s="6" t="s">
        <v>18</v>
      </c>
      <c r="B10" s="7">
        <v>52</v>
      </c>
      <c r="C10" s="7">
        <v>0</v>
      </c>
      <c r="D10" s="7">
        <f t="shared" ref="D10:D18" si="0">B10+C10</f>
        <v>52</v>
      </c>
      <c r="E10" s="7">
        <v>0</v>
      </c>
      <c r="F10" s="7">
        <v>0</v>
      </c>
      <c r="G10" s="7">
        <v>0</v>
      </c>
      <c r="H10" s="7">
        <v>0</v>
      </c>
      <c r="I10" s="7">
        <f t="shared" ref="I10:I18" si="1">D10-E10+F10-G10-H10</f>
        <v>52</v>
      </c>
    </row>
    <row r="11" spans="1:9" ht="20.100000000000001" customHeight="1" x14ac:dyDescent="0.25">
      <c r="A11" s="8" t="s">
        <v>19</v>
      </c>
      <c r="B11" s="9">
        <v>5</v>
      </c>
      <c r="C11" s="9">
        <v>5</v>
      </c>
      <c r="D11" s="9">
        <f t="shared" si="0"/>
        <v>10</v>
      </c>
      <c r="E11" s="9">
        <v>0</v>
      </c>
      <c r="F11" s="9">
        <v>0</v>
      </c>
      <c r="G11" s="9">
        <v>0</v>
      </c>
      <c r="H11" s="9">
        <v>0</v>
      </c>
      <c r="I11" s="9">
        <f t="shared" si="1"/>
        <v>10</v>
      </c>
    </row>
    <row r="12" spans="1:9" ht="20.100000000000001" customHeight="1" x14ac:dyDescent="0.25">
      <c r="A12" s="6" t="s">
        <v>20</v>
      </c>
      <c r="B12" s="7">
        <v>11</v>
      </c>
      <c r="C12" s="7">
        <v>-1</v>
      </c>
      <c r="D12" s="7">
        <f t="shared" si="0"/>
        <v>10</v>
      </c>
      <c r="E12" s="7">
        <v>10</v>
      </c>
      <c r="F12" s="7">
        <v>0</v>
      </c>
      <c r="G12" s="7">
        <v>0</v>
      </c>
      <c r="H12" s="7">
        <v>0</v>
      </c>
      <c r="I12" s="7">
        <f t="shared" si="1"/>
        <v>0</v>
      </c>
    </row>
    <row r="13" spans="1:9" ht="20.100000000000001" customHeight="1" x14ac:dyDescent="0.25">
      <c r="A13" s="8" t="s">
        <v>21</v>
      </c>
      <c r="B13" s="9">
        <v>27</v>
      </c>
      <c r="C13" s="9">
        <v>0</v>
      </c>
      <c r="D13" s="9">
        <f t="shared" si="0"/>
        <v>27</v>
      </c>
      <c r="E13" s="9">
        <v>0</v>
      </c>
      <c r="F13" s="9">
        <v>0</v>
      </c>
      <c r="G13" s="9">
        <v>0</v>
      </c>
      <c r="H13" s="9">
        <v>0</v>
      </c>
      <c r="I13" s="9">
        <f t="shared" si="1"/>
        <v>27</v>
      </c>
    </row>
    <row r="14" spans="1:9" ht="20.100000000000001" customHeight="1" x14ac:dyDescent="0.25">
      <c r="A14" s="6" t="s">
        <v>22</v>
      </c>
      <c r="B14" s="7">
        <v>65</v>
      </c>
      <c r="C14" s="7">
        <v>0</v>
      </c>
      <c r="D14" s="7">
        <f t="shared" si="0"/>
        <v>65</v>
      </c>
      <c r="E14" s="7">
        <v>0</v>
      </c>
      <c r="F14" s="7">
        <v>0</v>
      </c>
      <c r="G14" s="7">
        <v>0</v>
      </c>
      <c r="H14" s="7">
        <v>0</v>
      </c>
      <c r="I14" s="7">
        <f t="shared" si="1"/>
        <v>65</v>
      </c>
    </row>
    <row r="15" spans="1:9" ht="20.100000000000001" customHeight="1" x14ac:dyDescent="0.25">
      <c r="A15" s="8" t="s">
        <v>23</v>
      </c>
      <c r="B15" s="9">
        <v>0</v>
      </c>
      <c r="C15" s="9">
        <v>50</v>
      </c>
      <c r="D15" s="9">
        <f t="shared" si="0"/>
        <v>50</v>
      </c>
      <c r="E15" s="9">
        <v>0</v>
      </c>
      <c r="F15" s="9">
        <v>0</v>
      </c>
      <c r="G15" s="9">
        <v>0</v>
      </c>
      <c r="H15" s="9">
        <v>0</v>
      </c>
      <c r="I15" s="9">
        <f t="shared" si="1"/>
        <v>50</v>
      </c>
    </row>
    <row r="16" spans="1:9" ht="20.100000000000001" customHeight="1" x14ac:dyDescent="0.25">
      <c r="A16" s="6" t="s">
        <v>24</v>
      </c>
      <c r="B16" s="7">
        <v>0</v>
      </c>
      <c r="C16" s="7">
        <v>0</v>
      </c>
      <c r="D16" s="7">
        <f t="shared" si="0"/>
        <v>0</v>
      </c>
      <c r="E16" s="7">
        <v>0</v>
      </c>
      <c r="F16" s="7">
        <v>0</v>
      </c>
      <c r="G16" s="7">
        <v>0</v>
      </c>
      <c r="H16" s="7">
        <v>0</v>
      </c>
      <c r="I16" s="7">
        <f t="shared" si="1"/>
        <v>0</v>
      </c>
    </row>
    <row r="17" spans="1:9" ht="20.100000000000001" customHeight="1" x14ac:dyDescent="0.25">
      <c r="A17" s="8" t="s">
        <v>25</v>
      </c>
      <c r="B17" s="9">
        <v>34</v>
      </c>
      <c r="C17" s="9">
        <v>0</v>
      </c>
      <c r="D17" s="9">
        <f t="shared" si="0"/>
        <v>34</v>
      </c>
      <c r="E17" s="9">
        <v>0</v>
      </c>
      <c r="F17" s="9">
        <v>0</v>
      </c>
      <c r="G17" s="9">
        <v>0</v>
      </c>
      <c r="H17" s="9">
        <v>0</v>
      </c>
      <c r="I17" s="9">
        <f t="shared" si="1"/>
        <v>34</v>
      </c>
    </row>
    <row r="18" spans="1:9" ht="20.100000000000001" customHeight="1" x14ac:dyDescent="0.25">
      <c r="A18" s="6" t="s">
        <v>26</v>
      </c>
      <c r="B18" s="7">
        <v>10</v>
      </c>
      <c r="C18" s="7">
        <v>0</v>
      </c>
      <c r="D18" s="7">
        <f t="shared" si="0"/>
        <v>10</v>
      </c>
      <c r="E18" s="7">
        <v>0</v>
      </c>
      <c r="F18" s="7">
        <v>0</v>
      </c>
      <c r="G18" s="7">
        <v>0</v>
      </c>
      <c r="H18" s="7">
        <v>0</v>
      </c>
      <c r="I18" s="7">
        <f t="shared" si="1"/>
        <v>10</v>
      </c>
    </row>
    <row r="19" spans="1:9" ht="21.95" customHeight="1" x14ac:dyDescent="0.25">
      <c r="A19" s="10" t="s">
        <v>27</v>
      </c>
      <c r="B19" s="11">
        <f t="shared" ref="B19:I19" si="2">SUM(B10:B18)</f>
        <v>204</v>
      </c>
      <c r="C19" s="11">
        <f t="shared" si="2"/>
        <v>54</v>
      </c>
      <c r="D19" s="11">
        <f t="shared" si="2"/>
        <v>258</v>
      </c>
      <c r="E19" s="11">
        <f t="shared" si="2"/>
        <v>10</v>
      </c>
      <c r="F19" s="11">
        <f t="shared" si="2"/>
        <v>0</v>
      </c>
      <c r="G19" s="11">
        <f t="shared" si="2"/>
        <v>0</v>
      </c>
      <c r="H19" s="11">
        <f t="shared" si="2"/>
        <v>0</v>
      </c>
      <c r="I19" s="11">
        <f t="shared" si="2"/>
        <v>248</v>
      </c>
    </row>
    <row r="20" spans="1:9" ht="21.95" customHeight="1" x14ac:dyDescent="0.25">
      <c r="A20" s="10" t="s">
        <v>28</v>
      </c>
      <c r="B20" s="12">
        <v>32368</v>
      </c>
      <c r="C20" s="12">
        <v>7035</v>
      </c>
      <c r="D20" s="12">
        <v>39403</v>
      </c>
      <c r="E20" s="12">
        <v>1704</v>
      </c>
      <c r="F20" s="12">
        <v>0</v>
      </c>
      <c r="G20" s="12">
        <v>0</v>
      </c>
      <c r="H20" s="12">
        <v>0</v>
      </c>
      <c r="I20" s="12">
        <v>37664</v>
      </c>
    </row>
  </sheetData>
  <mergeCells count="4">
    <mergeCell ref="A1:I1"/>
    <mergeCell ref="A3:I3"/>
    <mergeCell ref="A9:I9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HES</cp:lastModifiedBy>
  <dcterms:created xsi:type="dcterms:W3CDTF">2026-08-02T16:31:26Z</dcterms:created>
  <dcterms:modified xsi:type="dcterms:W3CDTF">2026-08-03T12:20:10Z</dcterms:modified>
</cp:coreProperties>
</file>