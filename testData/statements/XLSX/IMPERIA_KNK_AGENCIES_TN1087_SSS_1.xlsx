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xr:revisionPtr revIDLastSave="0" documentId="8_{ED140BAF-71A5-6441-9029-51A38EF2384B}" xr6:coauthVersionLast="47" xr6:coauthVersionMax="47" xr10:uidLastSave="{00000000-0000-0000-0000-000000000000}"/>
  <bookViews>
    <workbookView xWindow="120" yWindow="120" windowWidth="28695" windowHeight="1509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E59" i="1"/>
  <c r="F59" i="1"/>
  <c r="G59" i="1"/>
  <c r="H59" i="1"/>
  <c r="I59" i="1"/>
  <c r="J59" i="1"/>
  <c r="K59" i="1"/>
  <c r="L59" i="1"/>
  <c r="C59" i="1"/>
</calcChain>
</file>

<file path=xl/sharedStrings.xml><?xml version="1.0" encoding="utf-8"?>
<sst xmlns="http://schemas.openxmlformats.org/spreadsheetml/2006/main" count="176" uniqueCount="89">
  <si>
    <t>KNK AGENCIES</t>
  </si>
  <si>
    <t xml:space="preserve">STOCK AND SALES STATEMENT    </t>
  </si>
  <si>
    <t>From Month : JUL 2026   Upto Month : JUL 2026</t>
  </si>
  <si>
    <t>MFGR : LINUX-IMPERIA</t>
  </si>
  <si>
    <t>SALE : 287495.21 STOCK : 230169.66 EXSTK : 23004.02 STK120 : 6378.72 EXP6M : 717.95 LZSTK : 88764.56</t>
  </si>
  <si>
    <t>Product Name</t>
  </si>
  <si>
    <t>Packing</t>
  </si>
  <si>
    <t>OPSTK</t>
  </si>
  <si>
    <t>OPV</t>
  </si>
  <si>
    <t>PURC</t>
  </si>
  <si>
    <t>PURCV</t>
  </si>
  <si>
    <t>Jun</t>
  </si>
  <si>
    <t>May</t>
  </si>
  <si>
    <t>SALE</t>
  </si>
  <si>
    <t>SALEV</t>
  </si>
  <si>
    <t>STOCK</t>
  </si>
  <si>
    <t>STOCKV</t>
  </si>
  <si>
    <t>Manufacturer / Division</t>
  </si>
  <si>
    <t>BRITAM 100MG SR TAB</t>
  </si>
  <si>
    <t>10 S</t>
  </si>
  <si>
    <t>LINUX-IMPERIA</t>
  </si>
  <si>
    <t>BRITAM 100MG TAB</t>
  </si>
  <si>
    <t>10S</t>
  </si>
  <si>
    <t>BRITAM 25MG TAB</t>
  </si>
  <si>
    <t>10 CAP</t>
  </si>
  <si>
    <t>BRITAM 50MG TAB</t>
  </si>
  <si>
    <t>BRITAM 50MG TAB 15S</t>
  </si>
  <si>
    <t>15S</t>
  </si>
  <si>
    <t>BRITAM 75MG TAB</t>
  </si>
  <si>
    <t>BRITAM INJ</t>
  </si>
  <si>
    <t>5ML</t>
  </si>
  <si>
    <t>BRITAM SR 50 MG TAB</t>
  </si>
  <si>
    <t>10 S TAB</t>
  </si>
  <si>
    <t>BRITAM SYRUP</t>
  </si>
  <si>
    <t>1 S</t>
  </si>
  <si>
    <t>CALMTRA 10MG TAB</t>
  </si>
  <si>
    <t>NA</t>
  </si>
  <si>
    <t>CALMTRA 5MG TAB</t>
  </si>
  <si>
    <t>CITALIN 10MG TAB 15S</t>
  </si>
  <si>
    <t>CITALIN 5 MG</t>
  </si>
  <si>
    <t>15 S</t>
  </si>
  <si>
    <t>CITALIN FORTE TAB</t>
  </si>
  <si>
    <t>CITALIN LITE TAB</t>
  </si>
  <si>
    <t>CITALIN PLUS TAB</t>
  </si>
  <si>
    <t>COGNITAM 400MG TAB</t>
  </si>
  <si>
    <t>COGNITAM 800MG TAB</t>
  </si>
  <si>
    <t>COGNITAM INJ 15ML</t>
  </si>
  <si>
    <t>15ML</t>
  </si>
  <si>
    <t>COGNITAM INJ 60ML</t>
  </si>
  <si>
    <t>60ML</t>
  </si>
  <si>
    <t>COGNITAM PLUS TAB</t>
  </si>
  <si>
    <t>COGNIVEL TABLET</t>
  </si>
  <si>
    <t>FLITRAZ TAB</t>
  </si>
  <si>
    <t>IGNICAR 400MG TAB</t>
  </si>
  <si>
    <t>IGNICAR DS PLUS SYRUP</t>
  </si>
  <si>
    <t>150 ML</t>
  </si>
  <si>
    <t>IGNICAR SYRUP</t>
  </si>
  <si>
    <t>200 ML</t>
  </si>
  <si>
    <t>IGNICAR TAB</t>
  </si>
  <si>
    <t>JOYPRIDE 100MG TAB</t>
  </si>
  <si>
    <t>JOYPRIDE 200MG TAB</t>
  </si>
  <si>
    <t>JOYPRIDE 400 MG TAB</t>
  </si>
  <si>
    <t>JOYPRIDE 50MG TAB</t>
  </si>
  <si>
    <t>LINSOL IV INJ</t>
  </si>
  <si>
    <t>100 ML</t>
  </si>
  <si>
    <t>PATINEX 12.5 MG TAB</t>
  </si>
  <si>
    <t>PATINEX 25MG TAB</t>
  </si>
  <si>
    <t>PATINEX LS TAB</t>
  </si>
  <si>
    <t>PREGALIFT ER 50MG TAB</t>
  </si>
  <si>
    <t>PREGALIFT ER 75MG TAB</t>
  </si>
  <si>
    <t>PREGALIFT NT TAB 15S</t>
  </si>
  <si>
    <t>PREGALIFT PLUS TAB</t>
  </si>
  <si>
    <t>PREGALIFT PLUS TAB 15S</t>
  </si>
  <si>
    <t>REXITE BT TAB</t>
  </si>
  <si>
    <t>REXITE D3 TAB 15S</t>
  </si>
  <si>
    <t>REXITE PFS</t>
  </si>
  <si>
    <t>1ML</t>
  </si>
  <si>
    <t>REXITE PLUS CAPS</t>
  </si>
  <si>
    <t>REXITE PLUS INJ</t>
  </si>
  <si>
    <t>1S</t>
  </si>
  <si>
    <t>RISCURE 0.5MG TAB</t>
  </si>
  <si>
    <t>RISCURE FORTE TAB</t>
  </si>
  <si>
    <t>RISCURE LS TAB</t>
  </si>
  <si>
    <t>RISCURE PLUS TAB</t>
  </si>
  <si>
    <t>VORTICA 10 MG TAB 10S</t>
  </si>
  <si>
    <t>ZOLCALM 10MG TAB</t>
  </si>
  <si>
    <t>ZOLCALM 5MG TAB</t>
  </si>
  <si>
    <t>PURC : 169464 SALE : 287495 STOCK : 230170 STK120 : 6379 EXP6M : 718 LZSTK : 88765#</t>
  </si>
  <si>
    <t>DSTK : Days Stock on 3 Month Sale : -2 No Sale No Stock, -1 No Sale, 0 No Stock, Rest Days Stock#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</si>
</sst>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2" borderId="2" xfId="0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1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selection activeCell="K76" sqref="K76"/>
    </sheetView>
  </sheetViews>
  <sheetFormatPr defaultRowHeight="15" customHeight="1" x14ac:dyDescent="0.2"/>
  <cols>
    <col min="1" max="1" width="23.9453125" bestFit="1" customWidth="1"/>
    <col min="2" max="2" width="8.875" customWidth="1"/>
    <col min="3" max="3" width="7.80078125" customWidth="1"/>
    <col min="4" max="4" width="9.55078125" customWidth="1"/>
    <col min="5" max="5" width="6.58984375" customWidth="1"/>
    <col min="6" max="6" width="9.55078125" customWidth="1"/>
    <col min="7" max="7" width="4.9765625" bestFit="1" customWidth="1"/>
    <col min="8" max="8" width="5.109375" customWidth="1"/>
    <col min="9" max="9" width="6.1875" customWidth="1"/>
    <col min="10" max="10" width="10.76171875" customWidth="1"/>
    <col min="11" max="11" width="7.80078125" customWidth="1"/>
    <col min="12" max="12" width="9.55078125" customWidth="1"/>
    <col min="13" max="13" width="24.078125" bestFit="1" customWidth="1"/>
  </cols>
  <sheetData>
    <row r="1" spans="1:13" ht="15" customHeight="1" x14ac:dyDescent="0.2">
      <c r="A1" s="1" t="s">
        <v>0</v>
      </c>
    </row>
    <row r="2" spans="1:13" ht="15" customHeight="1" x14ac:dyDescent="0.25">
      <c r="A2" s="3" t="s">
        <v>1</v>
      </c>
    </row>
    <row r="3" spans="1:13" ht="15" customHeight="1" x14ac:dyDescent="0.25">
      <c r="A3" s="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 spans="1:13" ht="15" customHeight="1" x14ac:dyDescent="0.2">
      <c r="A7" s="4" t="s">
        <v>18</v>
      </c>
      <c r="B7" s="4" t="s">
        <v>19</v>
      </c>
      <c r="C7" s="5">
        <v>20</v>
      </c>
      <c r="D7" s="6">
        <v>5066.8</v>
      </c>
      <c r="E7" s="5">
        <v>0</v>
      </c>
      <c r="F7" s="6">
        <v>0</v>
      </c>
      <c r="G7" s="5">
        <v>0</v>
      </c>
      <c r="H7" s="5">
        <v>0</v>
      </c>
      <c r="I7" s="5">
        <v>0</v>
      </c>
      <c r="J7" s="6">
        <v>0</v>
      </c>
      <c r="K7" s="5">
        <v>0</v>
      </c>
      <c r="L7" s="6">
        <v>0</v>
      </c>
      <c r="M7" s="4" t="s">
        <v>20</v>
      </c>
    </row>
    <row r="8" spans="1:13" ht="15" customHeight="1" x14ac:dyDescent="0.2">
      <c r="A8" s="4" t="s">
        <v>21</v>
      </c>
      <c r="B8" s="4" t="s">
        <v>22</v>
      </c>
      <c r="C8" s="5">
        <v>15</v>
      </c>
      <c r="D8" s="6">
        <v>3975</v>
      </c>
      <c r="E8" s="5">
        <v>30</v>
      </c>
      <c r="F8" s="6">
        <v>0</v>
      </c>
      <c r="G8" s="5">
        <v>39</v>
      </c>
      <c r="H8" s="5">
        <v>39</v>
      </c>
      <c r="I8" s="5">
        <v>0</v>
      </c>
      <c r="J8" s="6">
        <v>0</v>
      </c>
      <c r="K8" s="5">
        <v>45</v>
      </c>
      <c r="L8" s="6">
        <v>11925</v>
      </c>
      <c r="M8" s="4" t="s">
        <v>20</v>
      </c>
    </row>
    <row r="9" spans="1:13" ht="15" customHeight="1" x14ac:dyDescent="0.2">
      <c r="A9" s="4" t="s">
        <v>23</v>
      </c>
      <c r="B9" s="4" t="s">
        <v>24</v>
      </c>
      <c r="C9" s="5">
        <v>6</v>
      </c>
      <c r="D9" s="6">
        <v>397.02</v>
      </c>
      <c r="E9" s="5">
        <v>0</v>
      </c>
      <c r="F9" s="6">
        <v>0</v>
      </c>
      <c r="G9" s="5">
        <v>0</v>
      </c>
      <c r="H9" s="5">
        <v>0</v>
      </c>
      <c r="I9" s="5">
        <v>0</v>
      </c>
      <c r="J9" s="6">
        <v>0</v>
      </c>
      <c r="K9" s="5">
        <v>6</v>
      </c>
      <c r="L9" s="6">
        <v>397.02</v>
      </c>
      <c r="M9" s="4" t="s">
        <v>20</v>
      </c>
    </row>
    <row r="10" spans="1:13" ht="15" customHeight="1" x14ac:dyDescent="0.2">
      <c r="A10" s="4" t="s">
        <v>25</v>
      </c>
      <c r="B10" s="4" t="s">
        <v>22</v>
      </c>
      <c r="C10" s="5">
        <v>50</v>
      </c>
      <c r="D10" s="6">
        <v>5686</v>
      </c>
      <c r="E10" s="5">
        <v>0</v>
      </c>
      <c r="F10" s="6">
        <v>0</v>
      </c>
      <c r="G10" s="5">
        <v>0</v>
      </c>
      <c r="H10" s="5">
        <v>0</v>
      </c>
      <c r="I10" s="5">
        <v>0</v>
      </c>
      <c r="J10" s="6">
        <v>0</v>
      </c>
      <c r="K10" s="5">
        <v>50</v>
      </c>
      <c r="L10" s="6">
        <v>5686</v>
      </c>
      <c r="M10" s="4" t="s">
        <v>20</v>
      </c>
    </row>
    <row r="11" spans="1:13" ht="15" customHeight="1" x14ac:dyDescent="0.2">
      <c r="A11" s="4" t="s">
        <v>26</v>
      </c>
      <c r="B11" s="4" t="s">
        <v>27</v>
      </c>
      <c r="C11" s="5">
        <v>65</v>
      </c>
      <c r="D11" s="6">
        <v>12172.55</v>
      </c>
      <c r="E11" s="5">
        <v>100</v>
      </c>
      <c r="F11" s="6">
        <v>0</v>
      </c>
      <c r="G11" s="5">
        <v>143</v>
      </c>
      <c r="H11" s="5">
        <v>77</v>
      </c>
      <c r="I11" s="5">
        <v>39</v>
      </c>
      <c r="J11" s="6">
        <v>6242.4</v>
      </c>
      <c r="K11" s="5">
        <v>126</v>
      </c>
      <c r="L11" s="6">
        <v>23596.02</v>
      </c>
      <c r="M11" s="4" t="s">
        <v>20</v>
      </c>
    </row>
    <row r="12" spans="1:13" ht="15" customHeight="1" x14ac:dyDescent="0.2">
      <c r="A12" s="4" t="s">
        <v>28</v>
      </c>
      <c r="B12" s="4" t="s">
        <v>22</v>
      </c>
      <c r="C12" s="5">
        <v>15</v>
      </c>
      <c r="D12" s="6">
        <v>2972.1</v>
      </c>
      <c r="E12" s="5">
        <v>0</v>
      </c>
      <c r="F12" s="6">
        <v>0</v>
      </c>
      <c r="G12" s="5">
        <v>0</v>
      </c>
      <c r="H12" s="5">
        <v>0</v>
      </c>
      <c r="I12" s="5">
        <v>0</v>
      </c>
      <c r="J12" s="6">
        <v>0</v>
      </c>
      <c r="K12" s="5">
        <v>15</v>
      </c>
      <c r="L12" s="6">
        <v>2972.1</v>
      </c>
      <c r="M12" s="4" t="s">
        <v>20</v>
      </c>
    </row>
    <row r="13" spans="1:13" ht="15" customHeight="1" x14ac:dyDescent="0.2">
      <c r="A13" s="4" t="s">
        <v>29</v>
      </c>
      <c r="B13" s="4" t="s">
        <v>30</v>
      </c>
      <c r="C13" s="5">
        <v>65</v>
      </c>
      <c r="D13" s="6">
        <v>7015.45</v>
      </c>
      <c r="E13" s="5">
        <v>60</v>
      </c>
      <c r="F13" s="6">
        <v>0</v>
      </c>
      <c r="G13" s="5">
        <v>0</v>
      </c>
      <c r="H13" s="5">
        <v>65</v>
      </c>
      <c r="I13" s="5">
        <v>0</v>
      </c>
      <c r="J13" s="6">
        <v>0</v>
      </c>
      <c r="K13" s="5">
        <v>125</v>
      </c>
      <c r="L13" s="6">
        <v>13491.25</v>
      </c>
      <c r="M13" s="4" t="s">
        <v>20</v>
      </c>
    </row>
    <row r="14" spans="1:13" ht="15" customHeight="1" x14ac:dyDescent="0.2">
      <c r="A14" s="4" t="s">
        <v>31</v>
      </c>
      <c r="B14" s="4" t="s">
        <v>32</v>
      </c>
      <c r="C14" s="5">
        <v>0</v>
      </c>
      <c r="D14" s="6">
        <v>0</v>
      </c>
      <c r="E14" s="5">
        <v>0</v>
      </c>
      <c r="F14" s="6">
        <v>0</v>
      </c>
      <c r="G14" s="5">
        <v>0</v>
      </c>
      <c r="H14" s="5">
        <v>0</v>
      </c>
      <c r="I14" s="5">
        <v>0</v>
      </c>
      <c r="J14" s="6">
        <v>0</v>
      </c>
      <c r="K14" s="5">
        <v>0</v>
      </c>
      <c r="L14" s="6">
        <v>0</v>
      </c>
      <c r="M14" s="4" t="s">
        <v>20</v>
      </c>
    </row>
    <row r="15" spans="1:13" ht="15" customHeight="1" x14ac:dyDescent="0.2">
      <c r="A15" s="4" t="s">
        <v>33</v>
      </c>
      <c r="B15" s="4" t="s">
        <v>34</v>
      </c>
      <c r="C15" s="5">
        <v>0</v>
      </c>
      <c r="D15" s="6">
        <v>0</v>
      </c>
      <c r="E15" s="5">
        <v>13</v>
      </c>
      <c r="F15" s="6">
        <v>0</v>
      </c>
      <c r="G15" s="5">
        <v>0</v>
      </c>
      <c r="H15" s="5">
        <v>0</v>
      </c>
      <c r="I15" s="5">
        <v>0</v>
      </c>
      <c r="J15" s="6">
        <v>0</v>
      </c>
      <c r="K15" s="5">
        <v>13</v>
      </c>
      <c r="L15" s="6">
        <v>0.13</v>
      </c>
      <c r="M15" s="4" t="s">
        <v>20</v>
      </c>
    </row>
    <row r="16" spans="1:13" ht="15" customHeight="1" x14ac:dyDescent="0.2">
      <c r="A16" s="4" t="s">
        <v>35</v>
      </c>
      <c r="B16" s="4" t="s">
        <v>36</v>
      </c>
      <c r="C16" s="5">
        <v>40</v>
      </c>
      <c r="D16" s="6">
        <v>1549.6</v>
      </c>
      <c r="E16" s="5">
        <v>0</v>
      </c>
      <c r="F16" s="6">
        <v>0</v>
      </c>
      <c r="G16" s="5">
        <v>0</v>
      </c>
      <c r="H16" s="5">
        <v>0</v>
      </c>
      <c r="I16" s="5">
        <v>0</v>
      </c>
      <c r="J16" s="6">
        <v>0</v>
      </c>
      <c r="K16" s="5">
        <v>40</v>
      </c>
      <c r="L16" s="6">
        <v>1549.6</v>
      </c>
      <c r="M16" s="4" t="s">
        <v>20</v>
      </c>
    </row>
    <row r="17" spans="1:13" ht="15" customHeight="1" x14ac:dyDescent="0.2">
      <c r="A17" s="4" t="s">
        <v>37</v>
      </c>
      <c r="B17" s="4" t="s">
        <v>36</v>
      </c>
      <c r="C17" s="5">
        <v>30</v>
      </c>
      <c r="D17" s="6">
        <v>857.7</v>
      </c>
      <c r="E17" s="5">
        <v>0</v>
      </c>
      <c r="F17" s="6">
        <v>0</v>
      </c>
      <c r="G17" s="5">
        <v>0</v>
      </c>
      <c r="H17" s="5">
        <v>0</v>
      </c>
      <c r="I17" s="5">
        <v>0</v>
      </c>
      <c r="J17" s="6">
        <v>0</v>
      </c>
      <c r="K17" s="5">
        <v>30</v>
      </c>
      <c r="L17" s="6">
        <v>857.7</v>
      </c>
      <c r="M17" s="4" t="s">
        <v>20</v>
      </c>
    </row>
    <row r="18" spans="1:13" ht="15" customHeight="1" x14ac:dyDescent="0.2">
      <c r="A18" s="4" t="s">
        <v>38</v>
      </c>
      <c r="B18" s="4" t="s">
        <v>27</v>
      </c>
      <c r="C18" s="5">
        <v>54</v>
      </c>
      <c r="D18" s="6">
        <v>5571.72</v>
      </c>
      <c r="E18" s="5">
        <v>0</v>
      </c>
      <c r="F18" s="6">
        <v>0</v>
      </c>
      <c r="G18" s="5">
        <v>0</v>
      </c>
      <c r="H18" s="5">
        <v>0</v>
      </c>
      <c r="I18" s="5">
        <v>0</v>
      </c>
      <c r="J18" s="6">
        <v>0</v>
      </c>
      <c r="K18" s="5">
        <v>0</v>
      </c>
      <c r="L18" s="6">
        <v>0</v>
      </c>
      <c r="M18" s="4" t="s">
        <v>20</v>
      </c>
    </row>
    <row r="19" spans="1:13" ht="15" customHeight="1" x14ac:dyDescent="0.2">
      <c r="A19" s="4" t="s">
        <v>39</v>
      </c>
      <c r="B19" s="4" t="s">
        <v>40</v>
      </c>
      <c r="C19" s="5">
        <v>10</v>
      </c>
      <c r="D19" s="6">
        <v>576</v>
      </c>
      <c r="E19" s="5">
        <v>0</v>
      </c>
      <c r="F19" s="6">
        <v>0</v>
      </c>
      <c r="G19" s="5">
        <v>0</v>
      </c>
      <c r="H19" s="5">
        <v>0</v>
      </c>
      <c r="I19" s="5">
        <v>0</v>
      </c>
      <c r="J19" s="6">
        <v>0</v>
      </c>
      <c r="K19" s="5">
        <v>10</v>
      </c>
      <c r="L19" s="6">
        <v>576</v>
      </c>
      <c r="M19" s="4" t="s">
        <v>20</v>
      </c>
    </row>
    <row r="20" spans="1:13" ht="15" customHeight="1" x14ac:dyDescent="0.2">
      <c r="A20" s="4" t="s">
        <v>41</v>
      </c>
      <c r="B20" s="4" t="s">
        <v>19</v>
      </c>
      <c r="C20" s="5">
        <v>24</v>
      </c>
      <c r="D20" s="6">
        <v>4066.56</v>
      </c>
      <c r="E20" s="5">
        <v>0</v>
      </c>
      <c r="F20" s="6">
        <v>0</v>
      </c>
      <c r="G20" s="5">
        <v>12</v>
      </c>
      <c r="H20" s="5">
        <v>20</v>
      </c>
      <c r="I20" s="5">
        <v>0</v>
      </c>
      <c r="J20" s="6">
        <v>0</v>
      </c>
      <c r="K20" s="5">
        <v>24</v>
      </c>
      <c r="L20" s="6">
        <v>4066.56</v>
      </c>
      <c r="M20" s="4" t="s">
        <v>20</v>
      </c>
    </row>
    <row r="21" spans="1:13" ht="15" customHeight="1" x14ac:dyDescent="0.2">
      <c r="A21" s="4" t="s">
        <v>42</v>
      </c>
      <c r="B21" s="4" t="s">
        <v>19</v>
      </c>
      <c r="C21" s="5">
        <v>0</v>
      </c>
      <c r="D21" s="6">
        <v>0</v>
      </c>
      <c r="E21" s="5">
        <v>0</v>
      </c>
      <c r="F21" s="6">
        <v>0</v>
      </c>
      <c r="G21" s="5">
        <v>0</v>
      </c>
      <c r="H21" s="5">
        <v>20</v>
      </c>
      <c r="I21" s="5">
        <v>0</v>
      </c>
      <c r="J21" s="6">
        <v>0</v>
      </c>
      <c r="K21" s="5">
        <v>0</v>
      </c>
      <c r="L21" s="6">
        <v>0</v>
      </c>
      <c r="M21" s="4" t="s">
        <v>20</v>
      </c>
    </row>
    <row r="22" spans="1:13" ht="15" customHeight="1" x14ac:dyDescent="0.2">
      <c r="A22" s="4" t="s">
        <v>43</v>
      </c>
      <c r="B22" s="4" t="s">
        <v>22</v>
      </c>
      <c r="C22" s="5">
        <v>48</v>
      </c>
      <c r="D22" s="6">
        <v>3256.8</v>
      </c>
      <c r="E22" s="5">
        <v>0</v>
      </c>
      <c r="F22" s="6">
        <v>0</v>
      </c>
      <c r="G22" s="5">
        <v>12</v>
      </c>
      <c r="H22" s="5">
        <v>0</v>
      </c>
      <c r="I22" s="5">
        <v>0</v>
      </c>
      <c r="J22" s="6">
        <v>0</v>
      </c>
      <c r="K22" s="5">
        <v>48</v>
      </c>
      <c r="L22" s="6">
        <v>3256.8</v>
      </c>
      <c r="M22" s="4" t="s">
        <v>20</v>
      </c>
    </row>
    <row r="23" spans="1:13" ht="15" customHeight="1" x14ac:dyDescent="0.2">
      <c r="A23" s="4" t="s">
        <v>44</v>
      </c>
      <c r="B23" s="4" t="s">
        <v>22</v>
      </c>
      <c r="C23" s="5">
        <v>10</v>
      </c>
      <c r="D23" s="6">
        <v>619.6</v>
      </c>
      <c r="E23" s="5">
        <v>0</v>
      </c>
      <c r="F23" s="6">
        <v>0</v>
      </c>
      <c r="G23" s="5">
        <v>0</v>
      </c>
      <c r="H23" s="5">
        <v>0</v>
      </c>
      <c r="I23" s="5">
        <v>0</v>
      </c>
      <c r="J23" s="6">
        <v>0</v>
      </c>
      <c r="K23" s="5">
        <v>10</v>
      </c>
      <c r="L23" s="6">
        <v>619.6</v>
      </c>
      <c r="M23" s="4" t="s">
        <v>20</v>
      </c>
    </row>
    <row r="24" spans="1:13" ht="15" customHeight="1" x14ac:dyDescent="0.2">
      <c r="A24" s="4" t="s">
        <v>45</v>
      </c>
      <c r="B24" s="4" t="s">
        <v>22</v>
      </c>
      <c r="C24" s="5">
        <v>10</v>
      </c>
      <c r="D24" s="6">
        <v>1234.5999999999999</v>
      </c>
      <c r="E24" s="5">
        <v>0</v>
      </c>
      <c r="F24" s="6">
        <v>0</v>
      </c>
      <c r="G24" s="5">
        <v>0</v>
      </c>
      <c r="H24" s="5">
        <v>0</v>
      </c>
      <c r="I24" s="5">
        <v>0</v>
      </c>
      <c r="J24" s="6">
        <v>0</v>
      </c>
      <c r="K24" s="5">
        <v>10</v>
      </c>
      <c r="L24" s="6">
        <v>1234.5999999999999</v>
      </c>
      <c r="M24" s="4" t="s">
        <v>20</v>
      </c>
    </row>
    <row r="25" spans="1:13" ht="15" customHeight="1" x14ac:dyDescent="0.2">
      <c r="A25" s="4" t="s">
        <v>46</v>
      </c>
      <c r="B25" s="4" t="s">
        <v>47</v>
      </c>
      <c r="C25" s="5">
        <v>148</v>
      </c>
      <c r="D25" s="6">
        <v>14203.56</v>
      </c>
      <c r="E25" s="5">
        <v>0</v>
      </c>
      <c r="F25" s="6">
        <v>0</v>
      </c>
      <c r="G25" s="5">
        <v>0</v>
      </c>
      <c r="H25" s="5">
        <v>60</v>
      </c>
      <c r="I25" s="5">
        <v>0</v>
      </c>
      <c r="J25" s="6">
        <v>0</v>
      </c>
      <c r="K25" s="5">
        <v>148</v>
      </c>
      <c r="L25" s="6">
        <v>14203.56</v>
      </c>
      <c r="M25" s="4" t="s">
        <v>20</v>
      </c>
    </row>
    <row r="26" spans="1:13" ht="15" customHeight="1" x14ac:dyDescent="0.2">
      <c r="A26" s="4" t="s">
        <v>48</v>
      </c>
      <c r="B26" s="4" t="s">
        <v>49</v>
      </c>
      <c r="C26" s="5">
        <v>38</v>
      </c>
      <c r="D26" s="6">
        <v>14568.44</v>
      </c>
      <c r="E26" s="5">
        <v>0</v>
      </c>
      <c r="F26" s="6">
        <v>0</v>
      </c>
      <c r="G26" s="5">
        <v>0</v>
      </c>
      <c r="H26" s="5">
        <v>0</v>
      </c>
      <c r="I26" s="5">
        <v>0</v>
      </c>
      <c r="J26" s="6">
        <v>0</v>
      </c>
      <c r="K26" s="5">
        <v>0</v>
      </c>
      <c r="L26" s="6">
        <v>0</v>
      </c>
      <c r="M26" s="4" t="s">
        <v>20</v>
      </c>
    </row>
    <row r="27" spans="1:13" ht="15" customHeight="1" x14ac:dyDescent="0.2">
      <c r="A27" s="4" t="s">
        <v>50</v>
      </c>
      <c r="B27" s="4" t="s">
        <v>22</v>
      </c>
      <c r="C27" s="5">
        <v>0</v>
      </c>
      <c r="D27" s="6">
        <v>0</v>
      </c>
      <c r="E27" s="5">
        <v>0</v>
      </c>
      <c r="F27" s="6">
        <v>0</v>
      </c>
      <c r="G27" s="5">
        <v>0</v>
      </c>
      <c r="H27" s="5">
        <v>0</v>
      </c>
      <c r="I27" s="5">
        <v>0</v>
      </c>
      <c r="J27" s="6">
        <v>0</v>
      </c>
      <c r="K27" s="5">
        <v>0</v>
      </c>
      <c r="L27" s="6">
        <v>0</v>
      </c>
      <c r="M27" s="4" t="s">
        <v>20</v>
      </c>
    </row>
    <row r="28" spans="1:13" ht="15" customHeight="1" x14ac:dyDescent="0.2">
      <c r="A28" s="4" t="s">
        <v>51</v>
      </c>
      <c r="B28" s="4" t="s">
        <v>22</v>
      </c>
      <c r="C28" s="5">
        <v>46</v>
      </c>
      <c r="D28" s="6">
        <v>9278.2000000000007</v>
      </c>
      <c r="E28" s="5">
        <v>0</v>
      </c>
      <c r="F28" s="6">
        <v>0</v>
      </c>
      <c r="G28" s="5">
        <v>13</v>
      </c>
      <c r="H28" s="5">
        <v>0</v>
      </c>
      <c r="I28" s="5">
        <v>1</v>
      </c>
      <c r="J28" s="6">
        <v>224.11</v>
      </c>
      <c r="K28" s="5">
        <v>11</v>
      </c>
      <c r="L28" s="6">
        <v>2218.6999999999998</v>
      </c>
      <c r="M28" s="4" t="s">
        <v>20</v>
      </c>
    </row>
    <row r="29" spans="1:13" ht="15" customHeight="1" x14ac:dyDescent="0.2">
      <c r="A29" s="4" t="s">
        <v>52</v>
      </c>
      <c r="B29" s="4" t="s">
        <v>19</v>
      </c>
      <c r="C29" s="5">
        <v>10</v>
      </c>
      <c r="D29" s="6">
        <v>510.2</v>
      </c>
      <c r="E29" s="5">
        <v>0</v>
      </c>
      <c r="F29" s="6">
        <v>0</v>
      </c>
      <c r="G29" s="5">
        <v>0</v>
      </c>
      <c r="H29" s="5">
        <v>50</v>
      </c>
      <c r="I29" s="5">
        <v>0</v>
      </c>
      <c r="J29" s="6">
        <v>0</v>
      </c>
      <c r="K29" s="5">
        <v>10</v>
      </c>
      <c r="L29" s="6">
        <v>510.2</v>
      </c>
      <c r="M29" s="4" t="s">
        <v>20</v>
      </c>
    </row>
    <row r="30" spans="1:13" ht="15" customHeight="1" x14ac:dyDescent="0.2">
      <c r="A30" s="4" t="s">
        <v>53</v>
      </c>
      <c r="B30" s="4" t="s">
        <v>19</v>
      </c>
      <c r="C30" s="5">
        <v>0</v>
      </c>
      <c r="D30" s="6">
        <v>0</v>
      </c>
      <c r="E30" s="5">
        <v>120</v>
      </c>
      <c r="F30" s="6">
        <v>60768</v>
      </c>
      <c r="G30" s="5">
        <v>0</v>
      </c>
      <c r="H30" s="5">
        <v>0</v>
      </c>
      <c r="I30" s="5">
        <v>120</v>
      </c>
      <c r="J30" s="6">
        <v>56267</v>
      </c>
      <c r="K30" s="5">
        <v>0</v>
      </c>
      <c r="L30" s="6">
        <v>0</v>
      </c>
      <c r="M30" s="4" t="s">
        <v>20</v>
      </c>
    </row>
    <row r="31" spans="1:13" ht="15" customHeight="1" x14ac:dyDescent="0.2">
      <c r="A31" s="4" t="s">
        <v>54</v>
      </c>
      <c r="B31" s="4" t="s">
        <v>55</v>
      </c>
      <c r="C31" s="5">
        <v>13</v>
      </c>
      <c r="D31" s="6">
        <v>12532.52</v>
      </c>
      <c r="E31" s="5">
        <v>0</v>
      </c>
      <c r="F31" s="6">
        <v>0</v>
      </c>
      <c r="G31" s="5">
        <v>0</v>
      </c>
      <c r="H31" s="5">
        <v>0</v>
      </c>
      <c r="I31" s="5">
        <v>0</v>
      </c>
      <c r="J31" s="6">
        <v>0</v>
      </c>
      <c r="K31" s="5">
        <v>13</v>
      </c>
      <c r="L31" s="6">
        <v>12532.52</v>
      </c>
      <c r="M31" s="4" t="s">
        <v>20</v>
      </c>
    </row>
    <row r="32" spans="1:13" ht="15" customHeight="1" x14ac:dyDescent="0.2">
      <c r="A32" s="4" t="s">
        <v>56</v>
      </c>
      <c r="B32" s="4" t="s">
        <v>57</v>
      </c>
      <c r="C32" s="5">
        <v>26</v>
      </c>
      <c r="D32" s="6">
        <v>17069.259999999998</v>
      </c>
      <c r="E32" s="5">
        <v>20</v>
      </c>
      <c r="F32" s="6">
        <v>13130.2</v>
      </c>
      <c r="G32" s="5">
        <v>26</v>
      </c>
      <c r="H32" s="5">
        <v>0</v>
      </c>
      <c r="I32" s="5">
        <v>14</v>
      </c>
      <c r="J32" s="6">
        <v>8023.95</v>
      </c>
      <c r="K32" s="5">
        <v>32</v>
      </c>
      <c r="L32" s="6">
        <v>21008.32</v>
      </c>
      <c r="M32" s="4" t="s">
        <v>20</v>
      </c>
    </row>
    <row r="33" spans="1:13" ht="15" customHeight="1" x14ac:dyDescent="0.2">
      <c r="A33" s="4" t="s">
        <v>58</v>
      </c>
      <c r="B33" s="4" t="s">
        <v>22</v>
      </c>
      <c r="C33" s="5">
        <v>30</v>
      </c>
      <c r="D33" s="6">
        <v>9948.2999999999993</v>
      </c>
      <c r="E33" s="5">
        <v>0</v>
      </c>
      <c r="F33" s="6">
        <v>0</v>
      </c>
      <c r="G33" s="5">
        <v>0</v>
      </c>
      <c r="H33" s="5">
        <v>0</v>
      </c>
      <c r="I33" s="5">
        <v>0</v>
      </c>
      <c r="J33" s="6">
        <v>0</v>
      </c>
      <c r="K33" s="5">
        <v>0</v>
      </c>
      <c r="L33" s="6">
        <v>0</v>
      </c>
      <c r="M33" s="4" t="s">
        <v>20</v>
      </c>
    </row>
    <row r="34" spans="1:13" ht="15" customHeight="1" x14ac:dyDescent="0.2">
      <c r="A34" s="4" t="s">
        <v>59</v>
      </c>
      <c r="B34" s="4" t="s">
        <v>19</v>
      </c>
      <c r="C34" s="5">
        <v>20</v>
      </c>
      <c r="D34" s="6">
        <v>2308.8000000000002</v>
      </c>
      <c r="E34" s="5">
        <v>0</v>
      </c>
      <c r="F34" s="6">
        <v>0</v>
      </c>
      <c r="G34" s="5">
        <v>0</v>
      </c>
      <c r="H34" s="5">
        <v>0</v>
      </c>
      <c r="I34" s="5">
        <v>0</v>
      </c>
      <c r="J34" s="6">
        <v>0</v>
      </c>
      <c r="K34" s="5">
        <v>20</v>
      </c>
      <c r="L34" s="6">
        <v>2308.8000000000002</v>
      </c>
      <c r="M34" s="4" t="s">
        <v>20</v>
      </c>
    </row>
    <row r="35" spans="1:13" ht="15" customHeight="1" x14ac:dyDescent="0.2">
      <c r="A35" s="4" t="s">
        <v>60</v>
      </c>
      <c r="B35" s="4" t="s">
        <v>22</v>
      </c>
      <c r="C35" s="5">
        <v>62</v>
      </c>
      <c r="D35" s="6">
        <v>11138.92</v>
      </c>
      <c r="E35" s="5">
        <v>0</v>
      </c>
      <c r="F35" s="6">
        <v>0</v>
      </c>
      <c r="G35" s="5">
        <v>0</v>
      </c>
      <c r="H35" s="5">
        <v>0</v>
      </c>
      <c r="I35" s="5">
        <v>0</v>
      </c>
      <c r="J35" s="6">
        <v>0</v>
      </c>
      <c r="K35" s="5">
        <v>170</v>
      </c>
      <c r="L35" s="6">
        <v>30542.2</v>
      </c>
      <c r="M35" s="4" t="s">
        <v>20</v>
      </c>
    </row>
    <row r="36" spans="1:13" ht="15" customHeight="1" x14ac:dyDescent="0.2">
      <c r="A36" s="4" t="s">
        <v>61</v>
      </c>
      <c r="B36" s="4" t="s">
        <v>22</v>
      </c>
      <c r="C36" s="5">
        <v>0</v>
      </c>
      <c r="D36" s="6">
        <v>0</v>
      </c>
      <c r="E36" s="5">
        <v>0</v>
      </c>
      <c r="F36" s="6">
        <v>0</v>
      </c>
      <c r="G36" s="5">
        <v>0</v>
      </c>
      <c r="H36" s="5">
        <v>0</v>
      </c>
      <c r="I36" s="5">
        <v>0</v>
      </c>
      <c r="J36" s="6">
        <v>0</v>
      </c>
      <c r="K36" s="5">
        <v>0</v>
      </c>
      <c r="L36" s="6">
        <v>0</v>
      </c>
      <c r="M36" s="4" t="s">
        <v>20</v>
      </c>
    </row>
    <row r="37" spans="1:13" ht="15" customHeight="1" x14ac:dyDescent="0.2">
      <c r="A37" s="4" t="s">
        <v>62</v>
      </c>
      <c r="B37" s="4" t="s">
        <v>22</v>
      </c>
      <c r="C37" s="5">
        <v>10</v>
      </c>
      <c r="D37" s="6">
        <v>595.20000000000005</v>
      </c>
      <c r="E37" s="5">
        <v>0</v>
      </c>
      <c r="F37" s="6">
        <v>0</v>
      </c>
      <c r="G37" s="5">
        <v>0</v>
      </c>
      <c r="H37" s="5">
        <v>0</v>
      </c>
      <c r="I37" s="5">
        <v>0</v>
      </c>
      <c r="J37" s="6">
        <v>0</v>
      </c>
      <c r="K37" s="5">
        <v>10</v>
      </c>
      <c r="L37" s="6">
        <v>595.20000000000005</v>
      </c>
      <c r="M37" s="4" t="s">
        <v>20</v>
      </c>
    </row>
    <row r="38" spans="1:13" ht="15" customHeight="1" x14ac:dyDescent="0.2">
      <c r="A38" s="4" t="s">
        <v>63</v>
      </c>
      <c r="B38" s="4" t="s">
        <v>64</v>
      </c>
      <c r="C38" s="5">
        <v>125</v>
      </c>
      <c r="D38" s="6">
        <v>17948.75</v>
      </c>
      <c r="E38" s="5">
        <v>100</v>
      </c>
      <c r="F38" s="6">
        <v>14359</v>
      </c>
      <c r="G38" s="5">
        <v>52</v>
      </c>
      <c r="H38" s="5">
        <v>37</v>
      </c>
      <c r="I38" s="5">
        <v>130</v>
      </c>
      <c r="J38" s="6">
        <v>15954</v>
      </c>
      <c r="K38" s="5">
        <v>95</v>
      </c>
      <c r="L38" s="6">
        <v>13641.05</v>
      </c>
      <c r="M38" s="4" t="s">
        <v>20</v>
      </c>
    </row>
    <row r="39" spans="1:13" ht="15" customHeight="1" x14ac:dyDescent="0.2">
      <c r="A39" s="4" t="s">
        <v>65</v>
      </c>
      <c r="B39" s="4" t="s">
        <v>22</v>
      </c>
      <c r="C39" s="5">
        <v>21</v>
      </c>
      <c r="D39" s="6">
        <v>2552.5500000000002</v>
      </c>
      <c r="E39" s="5">
        <v>20</v>
      </c>
      <c r="F39" s="6">
        <v>2187.9</v>
      </c>
      <c r="G39" s="5">
        <v>24</v>
      </c>
      <c r="H39" s="5">
        <v>36</v>
      </c>
      <c r="I39" s="5">
        <v>18</v>
      </c>
      <c r="J39" s="6">
        <v>2025.75</v>
      </c>
      <c r="K39" s="5">
        <v>23</v>
      </c>
      <c r="L39" s="6">
        <v>2795.65</v>
      </c>
      <c r="M39" s="4" t="s">
        <v>20</v>
      </c>
    </row>
    <row r="40" spans="1:13" ht="15" customHeight="1" x14ac:dyDescent="0.2">
      <c r="A40" s="4" t="s">
        <v>66</v>
      </c>
      <c r="B40" s="4" t="s">
        <v>22</v>
      </c>
      <c r="C40" s="5">
        <v>12</v>
      </c>
      <c r="D40" s="6">
        <v>1738.68</v>
      </c>
      <c r="E40" s="5">
        <v>0</v>
      </c>
      <c r="F40" s="6">
        <v>0</v>
      </c>
      <c r="G40" s="5">
        <v>0</v>
      </c>
      <c r="H40" s="5">
        <v>0</v>
      </c>
      <c r="I40" s="5">
        <v>0</v>
      </c>
      <c r="J40" s="6">
        <v>0</v>
      </c>
      <c r="K40" s="5">
        <v>12</v>
      </c>
      <c r="L40" s="6">
        <v>1738.68</v>
      </c>
      <c r="M40" s="4" t="s">
        <v>20</v>
      </c>
    </row>
    <row r="41" spans="1:13" ht="15" customHeight="1" x14ac:dyDescent="0.2">
      <c r="A41" s="4" t="s">
        <v>67</v>
      </c>
      <c r="B41" s="4" t="s">
        <v>22</v>
      </c>
      <c r="C41" s="5">
        <v>26</v>
      </c>
      <c r="D41" s="6">
        <v>3211.78</v>
      </c>
      <c r="E41" s="5">
        <v>20</v>
      </c>
      <c r="F41" s="6">
        <v>0</v>
      </c>
      <c r="G41" s="5">
        <v>10</v>
      </c>
      <c r="H41" s="5">
        <v>18</v>
      </c>
      <c r="I41" s="5">
        <v>30</v>
      </c>
      <c r="J41" s="6">
        <v>3431.5</v>
      </c>
      <c r="K41" s="5">
        <v>16</v>
      </c>
      <c r="L41" s="6">
        <v>1976.48</v>
      </c>
      <c r="M41" s="4" t="s">
        <v>20</v>
      </c>
    </row>
    <row r="42" spans="1:13" ht="15" customHeight="1" x14ac:dyDescent="0.2">
      <c r="A42" s="4" t="s">
        <v>68</v>
      </c>
      <c r="B42" s="4" t="s">
        <v>22</v>
      </c>
      <c r="C42" s="5">
        <v>0</v>
      </c>
      <c r="D42" s="6">
        <v>0</v>
      </c>
      <c r="E42" s="5">
        <v>0</v>
      </c>
      <c r="F42" s="6">
        <v>0</v>
      </c>
      <c r="G42" s="5">
        <v>0</v>
      </c>
      <c r="H42" s="5">
        <v>0</v>
      </c>
      <c r="I42" s="5">
        <v>0</v>
      </c>
      <c r="J42" s="6">
        <v>0</v>
      </c>
      <c r="K42" s="5">
        <v>0</v>
      </c>
      <c r="L42" s="6">
        <v>0</v>
      </c>
      <c r="M42" s="4" t="s">
        <v>20</v>
      </c>
    </row>
    <row r="43" spans="1:13" ht="15" customHeight="1" x14ac:dyDescent="0.2">
      <c r="A43" s="4" t="s">
        <v>69</v>
      </c>
      <c r="B43" s="4" t="s">
        <v>22</v>
      </c>
      <c r="C43" s="5">
        <v>0</v>
      </c>
      <c r="D43" s="6">
        <v>0</v>
      </c>
      <c r="E43" s="5">
        <v>0</v>
      </c>
      <c r="F43" s="6">
        <v>0</v>
      </c>
      <c r="G43" s="5">
        <v>0</v>
      </c>
      <c r="H43" s="5">
        <v>0</v>
      </c>
      <c r="I43" s="5">
        <v>0</v>
      </c>
      <c r="J43" s="6">
        <v>0</v>
      </c>
      <c r="K43" s="5">
        <v>0</v>
      </c>
      <c r="L43" s="6">
        <v>0</v>
      </c>
      <c r="M43" s="4" t="s">
        <v>20</v>
      </c>
    </row>
    <row r="44" spans="1:13" ht="15" customHeight="1" x14ac:dyDescent="0.2">
      <c r="A44" s="4" t="s">
        <v>70</v>
      </c>
      <c r="B44" s="4" t="s">
        <v>27</v>
      </c>
      <c r="C44" s="5">
        <v>18</v>
      </c>
      <c r="D44" s="6">
        <v>4149.54</v>
      </c>
      <c r="E44" s="5">
        <v>0</v>
      </c>
      <c r="F44" s="6">
        <v>0</v>
      </c>
      <c r="G44" s="5">
        <v>24</v>
      </c>
      <c r="H44" s="5">
        <v>0</v>
      </c>
      <c r="I44" s="5">
        <v>0</v>
      </c>
      <c r="J44" s="6">
        <v>0</v>
      </c>
      <c r="K44" s="5">
        <v>18</v>
      </c>
      <c r="L44" s="6">
        <v>4149.54</v>
      </c>
      <c r="M44" s="4" t="s">
        <v>20</v>
      </c>
    </row>
    <row r="45" spans="1:13" ht="15" customHeight="1" x14ac:dyDescent="0.2">
      <c r="A45" s="4" t="s">
        <v>71</v>
      </c>
      <c r="B45" s="4" t="s">
        <v>22</v>
      </c>
      <c r="C45" s="5">
        <v>0</v>
      </c>
      <c r="D45" s="6">
        <v>0</v>
      </c>
      <c r="E45" s="5">
        <v>0</v>
      </c>
      <c r="F45" s="6">
        <v>0</v>
      </c>
      <c r="G45" s="5">
        <v>0</v>
      </c>
      <c r="H45" s="5">
        <v>0</v>
      </c>
      <c r="I45" s="5">
        <v>0</v>
      </c>
      <c r="J45" s="6">
        <v>0</v>
      </c>
      <c r="K45" s="5">
        <v>0</v>
      </c>
      <c r="L45" s="6">
        <v>0</v>
      </c>
      <c r="M45" s="4" t="s">
        <v>20</v>
      </c>
    </row>
    <row r="46" spans="1:13" ht="15" customHeight="1" x14ac:dyDescent="0.2">
      <c r="A46" s="4" t="s">
        <v>72</v>
      </c>
      <c r="B46" s="4" t="s">
        <v>27</v>
      </c>
      <c r="C46" s="5">
        <v>35</v>
      </c>
      <c r="D46" s="6">
        <v>8495.9</v>
      </c>
      <c r="E46" s="5">
        <v>0</v>
      </c>
      <c r="F46" s="6">
        <v>0</v>
      </c>
      <c r="G46" s="5">
        <v>0</v>
      </c>
      <c r="H46" s="5">
        <v>13</v>
      </c>
      <c r="I46" s="5">
        <v>0</v>
      </c>
      <c r="J46" s="6">
        <v>0</v>
      </c>
      <c r="K46" s="5">
        <v>35</v>
      </c>
      <c r="L46" s="6">
        <v>8495.9</v>
      </c>
      <c r="M46" s="4" t="s">
        <v>20</v>
      </c>
    </row>
    <row r="47" spans="1:13" ht="15" customHeight="1" x14ac:dyDescent="0.2">
      <c r="A47" s="4" t="s">
        <v>73</v>
      </c>
      <c r="B47" s="4" t="s">
        <v>22</v>
      </c>
      <c r="C47" s="5">
        <v>23</v>
      </c>
      <c r="D47" s="6">
        <v>1343.66</v>
      </c>
      <c r="E47" s="5">
        <v>0</v>
      </c>
      <c r="F47" s="6">
        <v>0</v>
      </c>
      <c r="G47" s="5">
        <v>24</v>
      </c>
      <c r="H47" s="5">
        <v>20</v>
      </c>
      <c r="I47" s="5">
        <v>0</v>
      </c>
      <c r="J47" s="6">
        <v>0</v>
      </c>
      <c r="K47" s="5">
        <v>23</v>
      </c>
      <c r="L47" s="6">
        <v>1343.66</v>
      </c>
      <c r="M47" s="4" t="s">
        <v>20</v>
      </c>
    </row>
    <row r="48" spans="1:13" ht="15" customHeight="1" x14ac:dyDescent="0.2">
      <c r="A48" s="4" t="s">
        <v>74</v>
      </c>
      <c r="B48" s="4" t="s">
        <v>27</v>
      </c>
      <c r="C48" s="5">
        <v>13</v>
      </c>
      <c r="D48" s="6">
        <v>2370.81</v>
      </c>
      <c r="E48" s="5">
        <v>0</v>
      </c>
      <c r="F48" s="6">
        <v>0</v>
      </c>
      <c r="G48" s="5">
        <v>0</v>
      </c>
      <c r="H48" s="5">
        <v>0</v>
      </c>
      <c r="I48" s="5">
        <v>0</v>
      </c>
      <c r="J48" s="6">
        <v>0</v>
      </c>
      <c r="K48" s="5">
        <v>13</v>
      </c>
      <c r="L48" s="6">
        <v>2370.81</v>
      </c>
      <c r="M48" s="4" t="s">
        <v>20</v>
      </c>
    </row>
    <row r="49" spans="1:13" ht="15" customHeight="1" x14ac:dyDescent="0.2">
      <c r="A49" s="4" t="s">
        <v>75</v>
      </c>
      <c r="B49" s="4" t="s">
        <v>76</v>
      </c>
      <c r="C49" s="5">
        <v>405</v>
      </c>
      <c r="D49" s="6">
        <v>56959.199999999997</v>
      </c>
      <c r="E49" s="5">
        <v>0</v>
      </c>
      <c r="F49" s="6">
        <v>0</v>
      </c>
      <c r="G49" s="5">
        <v>391</v>
      </c>
      <c r="H49" s="5">
        <v>0</v>
      </c>
      <c r="I49" s="5">
        <v>402</v>
      </c>
      <c r="J49" s="6">
        <v>48302</v>
      </c>
      <c r="K49" s="5">
        <v>3</v>
      </c>
      <c r="L49" s="6">
        <v>421.92</v>
      </c>
      <c r="M49" s="4" t="s">
        <v>20</v>
      </c>
    </row>
    <row r="50" spans="1:13" ht="15" customHeight="1" x14ac:dyDescent="0.2">
      <c r="A50" s="4" t="s">
        <v>77</v>
      </c>
      <c r="B50" s="4" t="s">
        <v>27</v>
      </c>
      <c r="C50" s="5">
        <v>228</v>
      </c>
      <c r="D50" s="6">
        <v>51201.96</v>
      </c>
      <c r="E50" s="5">
        <v>300</v>
      </c>
      <c r="F50" s="6">
        <v>44914</v>
      </c>
      <c r="G50" s="5">
        <v>137</v>
      </c>
      <c r="H50" s="5">
        <v>311</v>
      </c>
      <c r="I50" s="5">
        <v>528</v>
      </c>
      <c r="J50" s="6">
        <v>102303.2</v>
      </c>
      <c r="K50" s="5">
        <v>0</v>
      </c>
      <c r="L50" s="6">
        <v>0</v>
      </c>
      <c r="M50" s="4" t="s">
        <v>20</v>
      </c>
    </row>
    <row r="51" spans="1:13" ht="15" customHeight="1" x14ac:dyDescent="0.2">
      <c r="A51" s="4" t="s">
        <v>78</v>
      </c>
      <c r="B51" s="4" t="s">
        <v>79</v>
      </c>
      <c r="C51" s="5">
        <v>0</v>
      </c>
      <c r="D51" s="6">
        <v>0</v>
      </c>
      <c r="E51" s="5">
        <v>0</v>
      </c>
      <c r="F51" s="6">
        <v>0</v>
      </c>
      <c r="G51" s="5">
        <v>0</v>
      </c>
      <c r="H51" s="5">
        <v>0</v>
      </c>
      <c r="I51" s="5">
        <v>0</v>
      </c>
      <c r="J51" s="6">
        <v>0</v>
      </c>
      <c r="K51" s="5">
        <v>0</v>
      </c>
      <c r="L51" s="6">
        <v>0</v>
      </c>
      <c r="M51" s="4" t="s">
        <v>20</v>
      </c>
    </row>
    <row r="52" spans="1:13" ht="15" customHeight="1" x14ac:dyDescent="0.2">
      <c r="A52" s="4" t="s">
        <v>80</v>
      </c>
      <c r="B52" s="4" t="s">
        <v>22</v>
      </c>
      <c r="C52" s="5">
        <v>62</v>
      </c>
      <c r="D52" s="6">
        <v>1266.6600000000001</v>
      </c>
      <c r="E52" s="5">
        <v>0</v>
      </c>
      <c r="F52" s="6">
        <v>0</v>
      </c>
      <c r="G52" s="5">
        <v>0</v>
      </c>
      <c r="H52" s="5">
        <v>30</v>
      </c>
      <c r="I52" s="5">
        <v>0</v>
      </c>
      <c r="J52" s="6">
        <v>0</v>
      </c>
      <c r="K52" s="5">
        <v>62</v>
      </c>
      <c r="L52" s="6">
        <v>1266.6600000000001</v>
      </c>
      <c r="M52" s="4" t="s">
        <v>20</v>
      </c>
    </row>
    <row r="53" spans="1:13" ht="15" customHeight="1" x14ac:dyDescent="0.2">
      <c r="A53" s="4" t="s">
        <v>81</v>
      </c>
      <c r="B53" s="4" t="s">
        <v>22</v>
      </c>
      <c r="C53" s="5">
        <v>38</v>
      </c>
      <c r="D53" s="6">
        <v>2424.7800000000002</v>
      </c>
      <c r="E53" s="5">
        <v>0</v>
      </c>
      <c r="F53" s="6">
        <v>0</v>
      </c>
      <c r="G53" s="5">
        <v>36</v>
      </c>
      <c r="H53" s="5">
        <v>36</v>
      </c>
      <c r="I53" s="5">
        <v>0</v>
      </c>
      <c r="J53" s="6">
        <v>0</v>
      </c>
      <c r="K53" s="5">
        <v>38</v>
      </c>
      <c r="L53" s="6">
        <v>2424.7800000000002</v>
      </c>
      <c r="M53" s="4" t="s">
        <v>20</v>
      </c>
    </row>
    <row r="54" spans="1:13" ht="15" customHeight="1" x14ac:dyDescent="0.2">
      <c r="A54" s="4" t="s">
        <v>82</v>
      </c>
      <c r="B54" s="4" t="s">
        <v>22</v>
      </c>
      <c r="C54" s="5">
        <v>290</v>
      </c>
      <c r="D54" s="6">
        <v>12577.3</v>
      </c>
      <c r="E54" s="5">
        <v>300</v>
      </c>
      <c r="F54" s="6">
        <v>4337</v>
      </c>
      <c r="G54" s="5">
        <v>220</v>
      </c>
      <c r="H54" s="5">
        <v>337</v>
      </c>
      <c r="I54" s="5">
        <v>441</v>
      </c>
      <c r="J54" s="6">
        <v>16866.5</v>
      </c>
      <c r="K54" s="5">
        <v>149</v>
      </c>
      <c r="L54" s="6">
        <v>6462.13</v>
      </c>
      <c r="M54" s="4" t="s">
        <v>20</v>
      </c>
    </row>
    <row r="55" spans="1:13" ht="15" customHeight="1" x14ac:dyDescent="0.2">
      <c r="A55" s="4" t="s">
        <v>83</v>
      </c>
      <c r="B55" s="4" t="s">
        <v>22</v>
      </c>
      <c r="C55" s="5">
        <v>137</v>
      </c>
      <c r="D55" s="6">
        <v>6736.29</v>
      </c>
      <c r="E55" s="5">
        <v>0</v>
      </c>
      <c r="F55" s="6">
        <v>0</v>
      </c>
      <c r="G55" s="5">
        <v>12</v>
      </c>
      <c r="H55" s="5">
        <v>96</v>
      </c>
      <c r="I55" s="5">
        <v>0</v>
      </c>
      <c r="J55" s="6">
        <v>0</v>
      </c>
      <c r="K55" s="5">
        <v>137</v>
      </c>
      <c r="L55" s="6">
        <v>6736.29</v>
      </c>
      <c r="M55" s="4" t="s">
        <v>20</v>
      </c>
    </row>
    <row r="56" spans="1:13" ht="15" customHeight="1" x14ac:dyDescent="0.2">
      <c r="A56" s="4" t="s">
        <v>84</v>
      </c>
      <c r="B56" s="4" t="s">
        <v>22</v>
      </c>
      <c r="C56" s="5">
        <v>0</v>
      </c>
      <c r="D56" s="6">
        <v>0</v>
      </c>
      <c r="E56" s="5">
        <v>0</v>
      </c>
      <c r="F56" s="6">
        <v>0</v>
      </c>
      <c r="G56" s="5">
        <v>0</v>
      </c>
      <c r="H56" s="5">
        <v>0</v>
      </c>
      <c r="I56" s="5">
        <v>0</v>
      </c>
      <c r="J56" s="6">
        <v>0</v>
      </c>
      <c r="K56" s="5">
        <v>0</v>
      </c>
      <c r="L56" s="6">
        <v>0</v>
      </c>
      <c r="M56" s="4" t="s">
        <v>20</v>
      </c>
    </row>
    <row r="57" spans="1:13" ht="15" customHeight="1" x14ac:dyDescent="0.2">
      <c r="A57" s="4" t="s">
        <v>85</v>
      </c>
      <c r="B57" s="4" t="s">
        <v>27</v>
      </c>
      <c r="C57" s="5">
        <v>118</v>
      </c>
      <c r="D57" s="6">
        <v>14613.12</v>
      </c>
      <c r="E57" s="5">
        <v>120</v>
      </c>
      <c r="F57" s="6">
        <v>7554.24</v>
      </c>
      <c r="G57" s="5">
        <v>265</v>
      </c>
      <c r="H57" s="5">
        <v>248</v>
      </c>
      <c r="I57" s="5">
        <v>156</v>
      </c>
      <c r="J57" s="6">
        <v>18438.400000000001</v>
      </c>
      <c r="K57" s="5">
        <v>82</v>
      </c>
      <c r="L57" s="6">
        <v>10154.879999999999</v>
      </c>
      <c r="M57" s="4" t="s">
        <v>20</v>
      </c>
    </row>
    <row r="58" spans="1:13" ht="15" customHeight="1" x14ac:dyDescent="0.2">
      <c r="A58" s="4" t="s">
        <v>86</v>
      </c>
      <c r="B58" s="4" t="s">
        <v>27</v>
      </c>
      <c r="C58" s="5">
        <v>0</v>
      </c>
      <c r="D58" s="6">
        <v>0</v>
      </c>
      <c r="E58" s="5">
        <v>250</v>
      </c>
      <c r="F58" s="6">
        <v>22213.29</v>
      </c>
      <c r="G58" s="5">
        <v>110</v>
      </c>
      <c r="H58" s="5">
        <v>74</v>
      </c>
      <c r="I58" s="5">
        <v>115</v>
      </c>
      <c r="J58" s="6">
        <v>9416.4</v>
      </c>
      <c r="K58" s="5">
        <v>135</v>
      </c>
      <c r="L58" s="6">
        <v>12043.35</v>
      </c>
      <c r="M58" s="4" t="s">
        <v>20</v>
      </c>
    </row>
    <row r="59" spans="1:13" ht="15" customHeight="1" x14ac:dyDescent="0.2">
      <c r="A59" s="7"/>
      <c r="B59" s="7"/>
      <c r="C59" s="11">
        <f>SUM(C7:C58)</f>
        <v>2416</v>
      </c>
      <c r="D59" s="11">
        <f t="shared" ref="D59:L59" si="0">SUM(D7:D58)</f>
        <v>334761.87999999995</v>
      </c>
      <c r="E59" s="11">
        <f t="shared" si="0"/>
        <v>1453</v>
      </c>
      <c r="F59" s="11">
        <f t="shared" si="0"/>
        <v>169463.62999999998</v>
      </c>
      <c r="G59" s="11">
        <f t="shared" si="0"/>
        <v>1550</v>
      </c>
      <c r="H59" s="11">
        <f t="shared" si="0"/>
        <v>1587</v>
      </c>
      <c r="I59" s="11">
        <f t="shared" si="0"/>
        <v>1994</v>
      </c>
      <c r="J59" s="11">
        <f t="shared" si="0"/>
        <v>287495.21000000008</v>
      </c>
      <c r="K59" s="11">
        <f t="shared" si="0"/>
        <v>1807</v>
      </c>
      <c r="L59" s="11">
        <f t="shared" si="0"/>
        <v>230169.66000000003</v>
      </c>
      <c r="M59" s="7"/>
    </row>
    <row r="60" spans="1:13" ht="15" customHeight="1" x14ac:dyDescent="0.2">
      <c r="A60" s="9" t="s">
        <v>87</v>
      </c>
    </row>
    <row r="61" spans="1:13" ht="15" customHeight="1" x14ac:dyDescent="0.2">
      <c r="A61" s="9" t="s">
        <v>88</v>
      </c>
    </row>
    <row r="62" spans="1:13" ht="15" customHeight="1" x14ac:dyDescent="0.2">
      <c r="A62" s="2"/>
    </row>
    <row r="64" spans="1:13" ht="15" customHeight="1" x14ac:dyDescent="0.2">
      <c r="A64" s="2"/>
    </row>
    <row r="65" spans="1:1" ht="15" customHeight="1" x14ac:dyDescent="0.2">
      <c r="A65" s="10"/>
    </row>
    <row r="66" spans="1:1" ht="15" customHeight="1" x14ac:dyDescent="0.2">
      <c r="A66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KNK-ACCOUNTS</dc:creator>
  <cp:lastModifiedBy>KNK-ACCOUNTS</cp:lastModifiedBy>
  <dcterms:created xsi:type="dcterms:W3CDTF">2026-08-01T10:11:53Z</dcterms:created>
  <dcterms:modified xsi:type="dcterms:W3CDTF">2026-08-01T10:12:38Z</dcterms:modified>
</cp:coreProperties>
</file>